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C410" lockStructure="1"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Material_Rates" sheetId="2" state="visible" r:id="rId2"/>
    <sheet xmlns:r="http://schemas.openxmlformats.org/officeDocument/2006/relationships" name="MISC_Tiers" sheetId="3" state="visible" r:id="rId3"/>
    <sheet xmlns:r="http://schemas.openxmlformats.org/officeDocument/2006/relationships" name="Labor_Days" sheetId="4" state="visible" r:id="rId4"/>
    <sheet xmlns:r="http://schemas.openxmlformats.org/officeDocument/2006/relationships" name="Brand_Imaging" sheetId="5" state="visible" r:id="rId5"/>
    <sheet xmlns:r="http://schemas.openxmlformats.org/officeDocument/2006/relationships" name="MID_PriceSign" sheetId="6" state="visible" r:id="rId6"/>
    <sheet xmlns:r="http://schemas.openxmlformats.org/officeDocument/2006/relationships" name="MID_Labor" sheetId="7" state="visible" r:id="rId7"/>
    <sheet xmlns:r="http://schemas.openxmlformats.org/officeDocument/2006/relationships" name="Salespeople" sheetId="8" state="visible" r:id="rId8"/>
    <sheet xmlns:r="http://schemas.openxmlformats.org/officeDocument/2006/relationships" name="Markup_Rules" sheetId="9" state="visible" r:id="rId9"/>
    <sheet xmlns:r="http://schemas.openxmlformats.org/officeDocument/2006/relationships" name="Internal_PL" sheetId="10" state="hidden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0%;[RED]\(0.00%\);\-"/>
    <numFmt numFmtId="165" formatCode="\$#,##0;[RED]&quot;($&quot;#,##0\);\-"/>
    <numFmt numFmtId="166" formatCode="\$#,##0.00;[RED]&quot;($&quot;#,##0.00\);\-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i val="1"/>
      <color rgb="FF6A7A8C"/>
      <sz val="10"/>
    </font>
    <font>
      <name val="Arial"/>
      <charset val="1"/>
      <family val="0"/>
      <color rgb="FF000000"/>
      <sz val="11"/>
    </font>
    <font>
      <name val="Arial"/>
      <charset val="1"/>
      <family val="0"/>
      <b val="1"/>
      <i val="1"/>
      <color rgb="FF6A7A8C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1B3A5C"/>
      <sz val="11"/>
    </font>
    <font>
      <name val="Arial"/>
      <charset val="1"/>
      <family val="0"/>
      <b val="1"/>
      <color rgb="FF1B3A5C"/>
      <sz val="14"/>
    </font>
    <font>
      <name val="Arial"/>
      <i val="1"/>
      <color rgb="006A7A8C"/>
      <sz val="10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FFFFE0"/>
        <bgColor rgb="FFFFFFFF"/>
      </patternFill>
    </fill>
    <fill>
      <patternFill patternType="solid">
        <fgColor rgb="FFD4EDDA"/>
        <bgColor rgb="FFCCFFFF"/>
      </patternFill>
    </fill>
    <fill>
      <patternFill patternType="solid">
        <fgColor rgb="00FFFFE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/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 wrapText="1"/>
    </xf>
    <xf numFmtId="0" fontId="8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right" vertical="center" wrapText="1"/>
    </xf>
    <xf numFmtId="165" fontId="7" fillId="0" borderId="1" applyAlignment="1" pivotButton="0" quotePrefix="0" xfId="0">
      <alignment horizontal="right" vertical="center" wrapText="1"/>
    </xf>
    <xf numFmtId="165" fontId="9" fillId="0" borderId="1" applyAlignment="1" pivotButton="0" quotePrefix="0" xfId="0">
      <alignment horizontal="right" vertical="center" wrapText="1"/>
    </xf>
    <xf numFmtId="165" fontId="7" fillId="3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5" fontId="7" fillId="3" borderId="1" applyAlignment="1" pivotButton="0" quotePrefix="0" xfId="0">
      <alignment horizontal="center" vertical="center" wrapText="1"/>
    </xf>
    <xf numFmtId="165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general" vertical="bottom"/>
    </xf>
    <xf numFmtId="164" fontId="9" fillId="0" borderId="1" applyAlignment="1" pivotButton="0" quotePrefix="0" xfId="0">
      <alignment horizontal="right" vertical="center" wrapText="1"/>
    </xf>
    <xf numFmtId="1" fontId="9" fillId="0" borderId="1" applyAlignment="1" pivotButton="0" quotePrefix="0" xfId="0">
      <alignment horizontal="right" vertical="center" wrapText="1"/>
    </xf>
    <xf numFmtId="166" fontId="9" fillId="0" borderId="1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left" vertical="center" wrapText="1"/>
    </xf>
    <xf numFmtId="166" fontId="12" fillId="0" borderId="1" applyAlignment="1" pivotButton="0" quotePrefix="0" xfId="0">
      <alignment horizontal="right" vertical="center" wrapText="1"/>
    </xf>
    <xf numFmtId="0" fontId="13" fillId="4" borderId="1" applyAlignment="1" pivotButton="0" quotePrefix="0" xfId="0">
      <alignment horizontal="left" vertical="center" wrapText="1"/>
    </xf>
    <xf numFmtId="166" fontId="13" fillId="4" borderId="1" applyAlignment="1" pivotButton="0" quotePrefix="0" xfId="0">
      <alignment horizontal="right" vertical="center" wrapText="1"/>
    </xf>
    <xf numFmtId="164" fontId="13" fillId="4" borderId="1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 wrapText="1"/>
    </xf>
    <xf numFmtId="0" fontId="8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right" vertical="center" wrapText="1"/>
    </xf>
    <xf numFmtId="165" fontId="7" fillId="0" borderId="1" applyAlignment="1" pivotButton="0" quotePrefix="0" xfId="0">
      <alignment horizontal="right" vertical="center" wrapText="1"/>
    </xf>
    <xf numFmtId="165" fontId="9" fillId="0" borderId="1" applyAlignment="1" pivotButton="0" quotePrefix="0" xfId="0">
      <alignment horizontal="right" vertical="center" wrapText="1"/>
    </xf>
    <xf numFmtId="165" fontId="7" fillId="3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5" fontId="7" fillId="3" borderId="1" applyAlignment="1" pivotButton="0" quotePrefix="0" xfId="0">
      <alignment horizontal="center" vertical="center" wrapText="1"/>
    </xf>
    <xf numFmtId="165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center" wrapText="1"/>
    </xf>
    <xf numFmtId="164" fontId="9" fillId="0" borderId="1" applyAlignment="1" pivotButton="0" quotePrefix="0" xfId="0">
      <alignment horizontal="right" vertical="center" wrapText="1"/>
    </xf>
    <xf numFmtId="1" fontId="9" fillId="0" borderId="1" applyAlignment="1" pivotButton="0" quotePrefix="0" xfId="0">
      <alignment horizontal="right" vertical="center" wrapText="1"/>
    </xf>
    <xf numFmtId="166" fontId="9" fillId="0" borderId="1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left" vertical="center" wrapText="1"/>
    </xf>
    <xf numFmtId="166" fontId="12" fillId="0" borderId="1" applyAlignment="1" pivotButton="0" quotePrefix="0" xfId="0">
      <alignment horizontal="right" vertical="center" wrapText="1"/>
    </xf>
    <xf numFmtId="0" fontId="13" fillId="4" borderId="1" applyAlignment="1" pivotButton="0" quotePrefix="0" xfId="0">
      <alignment horizontal="left" vertical="center" wrapText="1"/>
    </xf>
    <xf numFmtId="166" fontId="13" fillId="4" borderId="1" applyAlignment="1" pivotButton="0" quotePrefix="0" xfId="0">
      <alignment horizontal="right" vertical="center" wrapText="1"/>
    </xf>
    <xf numFmtId="164" fontId="13" fillId="4" borderId="1" applyAlignment="1" pivotButton="0" quotePrefix="0" xfId="0">
      <alignment horizontal="right" vertical="center" wrapText="1"/>
    </xf>
    <xf numFmtId="0" fontId="7" fillId="0" borderId="2" applyAlignment="1" pivotButton="0" quotePrefix="0" xfId="0">
      <alignment horizontal="right" vertical="center" wrapText="1"/>
    </xf>
    <xf numFmtId="164" fontId="7" fillId="0" borderId="2" applyAlignment="1" pivotButton="0" quotePrefix="0" xfId="0">
      <alignment horizontal="right" vertical="center" wrapText="1"/>
    </xf>
    <xf numFmtId="165" fontId="14" fillId="0" borderId="3" applyAlignment="1" pivotButton="0" quotePrefix="0" xfId="0">
      <alignment horizontal="center" vertical="center"/>
    </xf>
    <xf numFmtId="165" fontId="7" fillId="5" borderId="3" applyAlignment="1" pivotButton="0" quotePrefix="0" xfId="0">
      <alignment horizontal="righ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6A7A8C"/>
      <rgbColor rgb="FF9999FF"/>
      <rgbColor rgb="FF993366"/>
      <rgbColor rgb="FFFFFF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2" customWidth="1" style="36" min="1" max="1"/>
    <col width="14" customWidth="1" style="36" min="2" max="3"/>
    <col width="70" customWidth="1" style="36" min="4" max="4"/>
  </cols>
  <sheetData>
    <row r="1" ht="27.75" customHeight="1" s="37">
      <c r="A1" s="38" t="inlineStr">
        <is>
          <t>Global Settings &amp; Defaults</t>
        </is>
      </c>
    </row>
    <row r="2" ht="21.75" customHeight="1" s="37">
      <c r="A2" s="39" t="inlineStr">
        <is>
          <t>Parameter</t>
        </is>
      </c>
      <c r="B2" s="39" t="inlineStr">
        <is>
          <t>Value</t>
        </is>
      </c>
      <c r="C2" s="39" t="inlineStr">
        <is>
          <t>True Cost</t>
        </is>
      </c>
      <c r="D2" s="39" t="inlineStr">
        <is>
          <t>Notes</t>
        </is>
      </c>
    </row>
    <row r="3" ht="15" customHeight="1" s="37">
      <c r="A3" s="40" t="inlineStr">
        <is>
          <t>canopy_height_default_ft</t>
        </is>
      </c>
      <c r="B3" s="41" t="n">
        <v>16.5</v>
      </c>
      <c r="C3" s="70" t="n"/>
      <c r="D3" s="42" t="inlineStr">
        <is>
          <t>Standard canopy height. 20 ft is blocked by configurator.</t>
        </is>
      </c>
    </row>
    <row r="4" ht="15" customHeight="1" s="37">
      <c r="A4" s="40" t="inlineStr">
        <is>
          <t>default_dispensers</t>
        </is>
      </c>
      <c r="B4" s="41" t="n">
        <v>4</v>
      </c>
      <c r="C4" s="70" t="n"/>
      <c r="D4" s="42" t="inlineStr">
        <is>
          <t>Initial dispenser count shown to user.</t>
        </is>
      </c>
    </row>
    <row r="5" ht="15" customHeight="1" s="37">
      <c r="A5" s="40" t="inlineStr">
        <is>
          <t>default_overhang_ft</t>
        </is>
      </c>
      <c r="B5" s="41" t="n">
        <v>10</v>
      </c>
      <c r="C5" s="70" t="n"/>
      <c r="D5" s="42" t="inlineStr">
        <is>
          <t>Overhang each side. Used in width formula.</t>
        </is>
      </c>
    </row>
    <row r="6" ht="15" customHeight="1" s="37">
      <c r="A6" s="40" t="inlineStr">
        <is>
          <t>default_distance_dive_in_ft</t>
        </is>
      </c>
      <c r="B6" s="41" t="n">
        <v>28</v>
      </c>
      <c r="C6" s="70" t="n"/>
      <c r="D6" s="42" t="inlineStr">
        <is>
          <t>Default distance between dispensers (Dive-in).</t>
        </is>
      </c>
    </row>
    <row r="7" ht="15" customHeight="1" s="37">
      <c r="A7" s="40" t="inlineStr">
        <is>
          <t>default_distance_stacked_ft</t>
        </is>
      </c>
      <c r="B7" s="41" t="n">
        <v>28</v>
      </c>
      <c r="C7" s="70" t="n"/>
      <c r="D7" s="42" t="inlineStr">
        <is>
          <t>Default distance per row (Stacked).</t>
        </is>
      </c>
    </row>
    <row r="8" ht="15" customHeight="1" s="37">
      <c r="A8" s="40" t="inlineStr">
        <is>
          <t>default_distance_in_line_ft</t>
        </is>
      </c>
      <c r="B8" s="41" t="n">
        <v>20</v>
      </c>
      <c r="C8" s="70" t="n"/>
      <c r="D8" s="42" t="inlineStr">
        <is>
          <t>Default distance (In-line).</t>
        </is>
      </c>
    </row>
    <row r="9" ht="15" customHeight="1" s="37">
      <c r="A9" s="40" t="inlineStr">
        <is>
          <t>depth_dive_in_ft</t>
        </is>
      </c>
      <c r="B9" s="41" t="n">
        <v>24</v>
      </c>
      <c r="C9" s="70" t="n"/>
      <c r="D9" s="42" t="inlineStr">
        <is>
          <t>Fixed depth for Dive-in.</t>
        </is>
      </c>
    </row>
    <row r="10" ht="15" customHeight="1" s="37">
      <c r="A10" s="40" t="inlineStr">
        <is>
          <t>depth_stacked_ft</t>
        </is>
      </c>
      <c r="B10" s="41" t="n">
        <v>48</v>
      </c>
      <c r="C10" s="70" t="n"/>
      <c r="D10" s="42" t="inlineStr">
        <is>
          <t>Fixed depth for Stacked (2 rows).</t>
        </is>
      </c>
    </row>
    <row r="11" ht="15" customHeight="1" s="37">
      <c r="A11" s="40" t="inlineStr">
        <is>
          <t>depth_in_line_ft</t>
        </is>
      </c>
      <c r="B11" s="41" t="n">
        <v>24</v>
      </c>
      <c r="C11" s="70" t="n"/>
      <c r="D11" s="42" t="inlineStr">
        <is>
          <t>Fixed depth for In-line.</t>
        </is>
      </c>
    </row>
    <row r="12" ht="15" customHeight="1" s="37">
      <c r="A12" s="40" t="inlineStr">
        <is>
          <t>acm_panel_width_ft</t>
        </is>
      </c>
      <c r="B12" s="41" t="n">
        <v>10</v>
      </c>
      <c r="C12" s="70" t="n"/>
      <c r="D12" s="42" t="inlineStr">
        <is>
          <t>Panel width — used in ACM formula.</t>
        </is>
      </c>
    </row>
    <row r="13" ht="15" customHeight="1" s="37">
      <c r="A13" s="40" t="inlineStr">
        <is>
          <t>tax_default_rate</t>
        </is>
      </c>
      <c r="B13" s="43" t="n">
        <v>0.0825</v>
      </c>
      <c r="C13" s="71" t="n"/>
      <c r="D13" s="42" t="inlineStr">
        <is>
          <t>Default sales tax rate.</t>
        </is>
      </c>
    </row>
    <row r="14" ht="15" customHeight="1" s="37">
      <c r="A14" s="40" t="inlineStr">
        <is>
          <t>laborer_count</t>
        </is>
      </c>
      <c r="B14" s="41" t="n">
        <v>4</v>
      </c>
      <c r="C14" s="70" t="n"/>
      <c r="D14" s="42" t="inlineStr">
        <is>
          <t>Number of laborers per crew.</t>
        </is>
      </c>
    </row>
    <row r="15" ht="15" customHeight="1" s="37">
      <c r="A15" s="40" t="inlineStr">
        <is>
          <t>hours_per_day</t>
        </is>
      </c>
      <c r="B15" s="41" t="n">
        <v>10</v>
      </c>
      <c r="C15" s="70" t="n"/>
      <c r="D15" s="42" t="inlineStr">
        <is>
          <t>Hours per laborer per day.</t>
        </is>
      </c>
    </row>
    <row r="16" ht="15" customHeight="1" s="37">
      <c r="A16" s="40" t="inlineStr">
        <is>
          <t>hourly_rate</t>
        </is>
      </c>
      <c r="B16" s="44" t="n">
        <v>30</v>
      </c>
      <c r="C16" s="72" t="inlineStr">
        <is>
          <t>(value is cost)</t>
        </is>
      </c>
      <c r="D16" s="42" t="inlineStr">
        <is>
          <t>Dollar rate per laborer-hour.</t>
        </is>
      </c>
    </row>
    <row r="17" ht="15" customHeight="1" s="37">
      <c r="A17" s="40" t="inlineStr">
        <is>
          <t>labor_daily_rate</t>
        </is>
      </c>
      <c r="B17" s="45">
        <f>B14*B15*B16</f>
        <v/>
      </c>
      <c r="C17" s="72" t="inlineStr">
        <is>
          <t>(value is cost)</t>
        </is>
      </c>
      <c r="D17" s="42" t="inlineStr">
        <is>
          <t>Derived: laborer_count × hours × rate. Should equal $1,200/day.</t>
        </is>
      </c>
    </row>
    <row r="18" ht="15" customHeight="1" s="37">
      <c r="A18" s="40" t="inlineStr">
        <is>
          <t>branded_labor_adder</t>
        </is>
      </c>
      <c r="B18" s="44" t="n">
        <v>2800</v>
      </c>
      <c r="C18" s="73" t="n"/>
      <c r="D18" s="42" t="inlineStr">
        <is>
          <t>Added to labor when canopy is Branded. Sold AT COST (no GP markup).</t>
        </is>
      </c>
    </row>
    <row r="19" ht="15" customHeight="1" s="37">
      <c r="A19" s="40" t="inlineStr">
        <is>
          <t>two_disp_labor_adder</t>
        </is>
      </c>
      <c r="B19" s="44" t="n">
        <v>5000</v>
      </c>
      <c r="C19" s="73" t="n"/>
      <c r="D19" s="42" t="inlineStr">
        <is>
          <t>Added when dispensers = 2. Sold AT COST (no GP markup).</t>
        </is>
      </c>
    </row>
    <row r="20" ht="15" customHeight="1" s="37">
      <c r="A20" s="40" t="inlineStr">
        <is>
          <t>shipping_handling</t>
        </is>
      </c>
      <c r="B20" s="44" t="n">
        <v>3500</v>
      </c>
      <c r="C20" s="73" t="n"/>
      <c r="D20" s="42" t="inlineStr">
        <is>
          <t>Added to MISC when branded. Sold AT COST — this $3,500 IS the markup.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8" customWidth="1" style="36" min="1" max="1"/>
    <col width="14" customWidth="1" style="36" min="2" max="3"/>
    <col width="70" customWidth="1" style="36" min="4" max="4"/>
  </cols>
  <sheetData>
    <row r="1" ht="27.75" customHeight="1" s="37">
      <c r="A1" s="38" t="inlineStr">
        <is>
          <t>Material Unit Rates</t>
        </is>
      </c>
    </row>
    <row r="2" ht="21.75" customHeight="1" s="37">
      <c r="A2" s="39" t="inlineStr">
        <is>
          <t>Parameter</t>
        </is>
      </c>
      <c r="B2" s="39" t="inlineStr">
        <is>
          <t>Selling</t>
        </is>
      </c>
      <c r="C2" s="39" t="inlineStr">
        <is>
          <t>True Cost</t>
        </is>
      </c>
      <c r="D2" s="39" t="inlineStr">
        <is>
          <t>Notes</t>
        </is>
      </c>
    </row>
    <row r="3" ht="15" customHeight="1" s="37">
      <c r="A3" s="40" t="inlineStr">
        <is>
          <t>acm_per_panel</t>
        </is>
      </c>
      <c r="B3" s="44" t="n">
        <v>450</v>
      </c>
      <c r="C3" s="46" t="n"/>
      <c r="D3" s="42" t="inlineStr">
        <is>
          <t>Per 10-ft ACM panel. Marked up at GP (when Unbranded only).</t>
        </is>
      </c>
    </row>
    <row r="4" ht="15" customHeight="1" s="37">
      <c r="A4" s="40" t="inlineStr">
        <is>
          <t>steel_primary_per_col</t>
        </is>
      </c>
      <c r="B4" s="44" t="n">
        <v>4000</v>
      </c>
      <c r="C4" s="46" t="n"/>
      <c r="D4" s="42" t="inlineStr">
        <is>
          <t>Standard column. Marked up at GP.</t>
        </is>
      </c>
    </row>
    <row r="5" ht="15" customHeight="1" s="37">
      <c r="A5" s="40" t="inlineStr">
        <is>
          <t>steel_secondary_per_col</t>
        </is>
      </c>
      <c r="B5" s="44" t="n">
        <v>2000</v>
      </c>
      <c r="C5" s="46" t="n"/>
      <c r="D5" s="42" t="inlineStr">
        <is>
          <t>Second-set column on double-col Dive-in. Sold AT COST.</t>
        </is>
      </c>
    </row>
    <row r="6" ht="15" customHeight="1" s="37">
      <c r="A6" s="40" t="inlineStr">
        <is>
          <t>decking_per_col</t>
        </is>
      </c>
      <c r="B6" s="44" t="n">
        <v>5000</v>
      </c>
      <c r="C6" s="46" t="n"/>
      <c r="D6" s="42" t="inlineStr">
        <is>
          <t>Per column. Marked up at GP.</t>
        </is>
      </c>
    </row>
    <row r="7" ht="15" customHeight="1" s="37">
      <c r="A7" s="40" t="inlineStr">
        <is>
          <t>light_unit_price</t>
        </is>
      </c>
      <c r="B7" s="44" t="n">
        <v>150</v>
      </c>
      <c r="C7" s="46" t="n"/>
      <c r="D7" s="42" t="inlineStr">
        <is>
          <t>Per light. Marked up at GP.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36" min="1" max="2"/>
    <col width="14" customWidth="1" style="36" min="3" max="4"/>
    <col width="60" customWidth="1" style="36" min="5" max="5"/>
  </cols>
  <sheetData>
    <row r="1" ht="27.75" customHeight="1" s="37">
      <c r="A1" s="38" t="inlineStr">
        <is>
          <t>MISC Pricing — Tiered by Column Count</t>
        </is>
      </c>
    </row>
    <row r="2" ht="21.75" customHeight="1" s="37">
      <c r="A2" s="39" t="inlineStr">
        <is>
          <t>cols_low</t>
        </is>
      </c>
      <c r="B2" s="39" t="inlineStr">
        <is>
          <t>cols_high</t>
        </is>
      </c>
      <c r="C2" s="39" t="inlineStr">
        <is>
          <t>selling</t>
        </is>
      </c>
      <c r="D2" s="39" t="inlineStr">
        <is>
          <t>true_cost</t>
        </is>
      </c>
      <c r="E2" s="39" t="inlineStr">
        <is>
          <t>notes</t>
        </is>
      </c>
    </row>
    <row r="3" ht="15" customHeight="1" s="37">
      <c r="A3" s="47" t="n">
        <v>1</v>
      </c>
      <c r="B3" s="47" t="n">
        <v>4</v>
      </c>
      <c r="C3" s="48" t="n">
        <v>2500</v>
      </c>
      <c r="D3" s="49" t="n"/>
      <c r="E3" s="42" t="inlineStr">
        <is>
          <t>Paint, Transportation, Insurance, PM, Shipping &amp; Handling base</t>
        </is>
      </c>
    </row>
    <row r="4" ht="15" customHeight="1" s="37">
      <c r="A4" s="47" t="n">
        <v>5</v>
      </c>
      <c r="B4" s="47" t="n">
        <v>8</v>
      </c>
      <c r="C4" s="48" t="n">
        <v>4000</v>
      </c>
      <c r="D4" s="49" t="n"/>
      <c r="E4" s="42" t="n"/>
    </row>
    <row r="5" ht="15" customHeight="1" s="37">
      <c r="A5" s="47" t="n">
        <v>9</v>
      </c>
      <c r="B5" s="47" t="n">
        <v>12</v>
      </c>
      <c r="C5" s="48" t="n">
        <v>6000</v>
      </c>
      <c r="D5" s="49" t="n"/>
      <c r="E5" s="42" t="n"/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" customWidth="1" style="36" min="1" max="1"/>
    <col width="10" customWidth="1" style="36" min="2" max="2"/>
    <col width="18" customWidth="1" style="36" min="3" max="3"/>
  </cols>
  <sheetData>
    <row r="1" ht="27.75" customHeight="1" s="37">
      <c r="A1" s="38" t="inlineStr">
        <is>
          <t>Labor Days by Dispenser Count</t>
        </is>
      </c>
    </row>
    <row r="2" ht="21.75" customHeight="1" s="37">
      <c r="A2" s="39" t="inlineStr">
        <is>
          <t>dispensers</t>
        </is>
      </c>
      <c r="B2" s="39" t="inlineStr">
        <is>
          <t>days</t>
        </is>
      </c>
      <c r="C2" s="39" t="inlineStr">
        <is>
          <t>base_labor_$</t>
        </is>
      </c>
    </row>
    <row r="3" ht="15" customHeight="1" s="37">
      <c r="A3" s="47" t="n">
        <v>2</v>
      </c>
      <c r="B3" s="47" t="n">
        <v>3</v>
      </c>
      <c r="C3" s="50">
        <f>B3*Settings!B17</f>
        <v/>
      </c>
    </row>
    <row r="4" ht="15" customHeight="1" s="37">
      <c r="A4" s="47" t="n">
        <v>3</v>
      </c>
      <c r="B4" s="47" t="n">
        <v>5</v>
      </c>
      <c r="C4" s="50">
        <f>B4*Settings!B17</f>
        <v/>
      </c>
    </row>
    <row r="5" ht="15" customHeight="1" s="37">
      <c r="A5" s="47" t="n">
        <v>4</v>
      </c>
      <c r="B5" s="47" t="n">
        <v>7</v>
      </c>
      <c r="C5" s="50">
        <f>B5*Settings!B17</f>
        <v/>
      </c>
    </row>
    <row r="6" ht="15" customHeight="1" s="37">
      <c r="A6" s="47" t="n">
        <v>5</v>
      </c>
      <c r="B6" s="47" t="n">
        <v>10</v>
      </c>
      <c r="C6" s="50">
        <f>B6*Settings!B17</f>
        <v/>
      </c>
    </row>
    <row r="7" ht="15" customHeight="1" s="37">
      <c r="A7" s="47" t="n">
        <v>6</v>
      </c>
      <c r="B7" s="47" t="n">
        <v>12</v>
      </c>
      <c r="C7" s="50">
        <f>B7*Settings!B17</f>
        <v/>
      </c>
    </row>
    <row r="8" ht="15" customHeight="1" s="37">
      <c r="A8" s="47" t="n">
        <v>7</v>
      </c>
      <c r="B8" s="47" t="n">
        <v>12</v>
      </c>
      <c r="C8" s="50">
        <f>B8*Settings!B17</f>
        <v/>
      </c>
    </row>
    <row r="9" ht="15" customHeight="1" s="37">
      <c r="A9" s="47" t="n">
        <v>8</v>
      </c>
      <c r="B9" s="47" t="n">
        <v>14</v>
      </c>
      <c r="C9" s="50">
        <f>B9*Settings!B17</f>
        <v/>
      </c>
    </row>
    <row r="10" ht="15" customHeight="1" s="37">
      <c r="A10" s="47" t="n">
        <v>9</v>
      </c>
      <c r="B10" s="47" t="n">
        <v>15</v>
      </c>
      <c r="C10" s="50">
        <f>B10*Settings!B17</f>
        <v/>
      </c>
    </row>
    <row r="11" ht="15" customHeight="1" s="37">
      <c r="A11" s="47" t="n">
        <v>10</v>
      </c>
      <c r="B11" s="47" t="n">
        <v>15</v>
      </c>
      <c r="C11" s="50">
        <f>B11*Settings!B17</f>
        <v/>
      </c>
    </row>
    <row r="13" ht="34.5" customHeight="1" s="37">
      <c r="A13" s="51" t="inlineStr">
        <is>
          <t>Note:</t>
        </is>
      </c>
      <c r="B13" s="52" t="inlineStr">
        <is>
          <t>Base labor IS the true cost (4×10×$30). Markup happens via × (1+GP).</t>
        </is>
      </c>
    </row>
  </sheetData>
  <mergeCells count="2">
    <mergeCell ref="A1:C1"/>
    <mergeCell ref="B13:C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8" customWidth="1" style="36" min="1" max="1"/>
    <col width="11" customWidth="1" style="36" min="2" max="10"/>
    <col width="50" customWidth="1" style="36" min="11" max="11"/>
  </cols>
  <sheetData>
    <row r="1" ht="27.75" customHeight="1" s="37">
      <c r="A1" s="38" t="inlineStr">
        <is>
          <t>Brand Imaging — pass-through AT COST (no markup, no profit). Profit lives in shipping.</t>
        </is>
      </c>
    </row>
    <row r="2" ht="21.75" customHeight="1" s="37">
      <c r="A2" s="39" t="inlineStr">
        <is>
          <t>brand</t>
        </is>
      </c>
      <c r="B2" s="39" t="inlineStr">
        <is>
          <t>2_disp</t>
        </is>
      </c>
      <c r="C2" s="39" t="inlineStr">
        <is>
          <t>3_disp</t>
        </is>
      </c>
      <c r="D2" s="39" t="inlineStr">
        <is>
          <t>4_disp</t>
        </is>
      </c>
      <c r="E2" s="39" t="inlineStr">
        <is>
          <t>5_disp</t>
        </is>
      </c>
      <c r="F2" s="39" t="inlineStr">
        <is>
          <t>6_disp</t>
        </is>
      </c>
      <c r="G2" s="39" t="inlineStr">
        <is>
          <t>7_disp</t>
        </is>
      </c>
      <c r="H2" s="39" t="inlineStr">
        <is>
          <t>8_disp</t>
        </is>
      </c>
      <c r="I2" s="39" t="inlineStr">
        <is>
          <t>9_disp</t>
        </is>
      </c>
      <c r="J2" s="39" t="inlineStr">
        <is>
          <t>10_disp</t>
        </is>
      </c>
      <c r="K2" s="39" t="inlineStr">
        <is>
          <t>notes</t>
        </is>
      </c>
    </row>
    <row r="3" ht="15" customHeight="1" s="37">
      <c r="A3" s="40" t="inlineStr">
        <is>
          <t>Chevron Level I</t>
        </is>
      </c>
      <c r="B3" s="44" t="n">
        <v>14780</v>
      </c>
      <c r="C3" s="44" t="n">
        <v>21420</v>
      </c>
      <c r="D3" s="44" t="n">
        <v>28786</v>
      </c>
      <c r="E3" s="44" t="n">
        <v>35101</v>
      </c>
      <c r="F3" s="44" t="n">
        <v>42181</v>
      </c>
      <c r="G3" s="44" t="n"/>
      <c r="H3" s="44" t="n"/>
      <c r="I3" s="44" t="n"/>
      <c r="J3" s="44" t="n"/>
      <c r="K3" s="42" t="inlineStr">
        <is>
          <t>7+ disp prices needed.</t>
        </is>
      </c>
    </row>
    <row r="4" ht="15" customHeight="1" s="37">
      <c r="A4" s="40" t="inlineStr">
        <is>
          <t>Valero</t>
        </is>
      </c>
      <c r="B4" s="44" t="n">
        <v>15480</v>
      </c>
      <c r="C4" s="44" t="n">
        <v>18990</v>
      </c>
      <c r="D4" s="44" t="n">
        <v>25860</v>
      </c>
      <c r="E4" s="44" t="n">
        <v>33301</v>
      </c>
      <c r="F4" s="44" t="n">
        <v>35741</v>
      </c>
      <c r="G4" s="44" t="n"/>
      <c r="H4" s="44" t="n"/>
      <c r="I4" s="44" t="n"/>
      <c r="J4" s="44" t="n"/>
      <c r="K4" s="42" t="inlineStr">
        <is>
          <t>7+ disp prices needed.</t>
        </is>
      </c>
    </row>
    <row r="5" ht="15" customHeight="1" s="37">
      <c r="A5" s="40" t="inlineStr">
        <is>
          <t>Shell</t>
        </is>
      </c>
      <c r="B5" s="44" t="n">
        <v>11280</v>
      </c>
      <c r="C5" s="44" t="n">
        <v>16920</v>
      </c>
      <c r="D5" s="44" t="n">
        <v>22560</v>
      </c>
      <c r="E5" s="44" t="n">
        <v>28201</v>
      </c>
      <c r="F5" s="44" t="n">
        <v>33841</v>
      </c>
      <c r="G5" s="44" t="n"/>
      <c r="H5" s="44" t="n"/>
      <c r="I5" s="44" t="n"/>
      <c r="J5" s="44" t="n"/>
      <c r="K5" s="42" t="inlineStr">
        <is>
          <t>7+ disp prices needed.</t>
        </is>
      </c>
    </row>
    <row r="6" ht="15" customHeight="1" s="37">
      <c r="A6" s="40" t="inlineStr">
        <is>
          <t>Exxon</t>
        </is>
      </c>
      <c r="B6" s="44" t="n"/>
      <c r="C6" s="44" t="n"/>
      <c r="D6" s="44" t="n"/>
      <c r="E6" s="44" t="n"/>
      <c r="F6" s="44" t="n"/>
      <c r="G6" s="44" t="n"/>
      <c r="H6" s="44" t="n"/>
      <c r="I6" s="44" t="n"/>
      <c r="J6" s="44" t="n"/>
      <c r="K6" s="42" t="inlineStr">
        <is>
          <t>Jobber-supplied — declare not included.</t>
        </is>
      </c>
    </row>
    <row r="7" ht="15" customHeight="1" s="37">
      <c r="A7" s="40" t="inlineStr">
        <is>
          <t>BP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2" t="inlineStr">
        <is>
          <t>Jobber-supplied — declare not included.</t>
        </is>
      </c>
    </row>
    <row r="8" ht="15" customHeight="1" s="37">
      <c r="A8" s="40" t="inlineStr">
        <is>
          <t>Marathon</t>
        </is>
      </c>
      <c r="B8" s="44" t="n"/>
      <c r="C8" s="44" t="n"/>
      <c r="D8" s="44" t="n"/>
      <c r="E8" s="44" t="n"/>
      <c r="F8" s="44" t="n"/>
      <c r="G8" s="44" t="n"/>
      <c r="H8" s="44" t="n"/>
      <c r="I8" s="44" t="n"/>
      <c r="J8" s="44" t="n"/>
      <c r="K8" s="42" t="inlineStr">
        <is>
          <t>Jobber-supplied — confirm: jobber or add prices?</t>
        </is>
      </c>
    </row>
    <row r="9" ht="15" customHeight="1" s="37">
      <c r="A9" s="53" t="inlineStr">
        <is>
          <t>Citgo</t>
        </is>
      </c>
      <c r="B9" s="46" t="n"/>
      <c r="C9" s="46" t="n"/>
      <c r="D9" s="46" t="n"/>
      <c r="E9" s="46" t="n"/>
      <c r="F9" s="46" t="n"/>
      <c r="G9" s="46" t="n"/>
      <c r="H9" s="46" t="n"/>
      <c r="I9" s="46" t="n"/>
      <c r="J9" s="46" t="n"/>
      <c r="K9" s="54" t="inlineStr">
        <is>
          <t>Jobber-supplied — confirm: jobber or add prices?</t>
        </is>
      </c>
    </row>
    <row r="10" ht="15" customHeight="1" s="37">
      <c r="A10" s="55" t="n"/>
      <c r="B10" s="55" t="n"/>
      <c r="C10" s="55" t="n"/>
      <c r="D10" s="55" t="n"/>
      <c r="E10" s="55" t="n"/>
      <c r="F10" s="55" t="n"/>
      <c r="G10" s="55" t="n"/>
      <c r="H10" s="55" t="n"/>
      <c r="I10" s="55" t="n"/>
      <c r="J10" s="55" t="n"/>
      <c r="K10" s="55" t="n"/>
    </row>
    <row r="11" ht="15" customHeight="1" s="37">
      <c r="A11" s="51" t="inlineStr">
        <is>
          <t>Note:</t>
        </is>
      </c>
      <c r="B11" s="56" t="inlineStr">
        <is>
          <t>Brand imaging is a pure pass-through. We charge what it costs us. Our profit on branded jobs comes from the $3,500 shipping markup (vs actual freight cost), not from imaging.</t>
        </is>
      </c>
    </row>
  </sheetData>
  <mergeCells count="2">
    <mergeCell ref="A1:K1"/>
    <mergeCell ref="B11:K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8" customWidth="1" style="36" min="1" max="1"/>
    <col width="14" customWidth="1" style="36" min="2" max="3"/>
    <col width="50" customWidth="1" style="36" min="4" max="4"/>
  </cols>
  <sheetData>
    <row r="1" ht="27.75" customHeight="1" s="37">
      <c r="A1" s="38" t="inlineStr">
        <is>
          <t>MID / Price Sign Material — sold AT COST (no GP markup), tax applies</t>
        </is>
      </c>
    </row>
    <row r="2" ht="21.75" customHeight="1" s="37">
      <c r="A2" s="39" t="inlineStr">
        <is>
          <t>brand</t>
        </is>
      </c>
      <c r="B2" s="39" t="inlineStr">
        <is>
          <t>selling</t>
        </is>
      </c>
      <c r="C2" s="39" t="inlineStr">
        <is>
          <t>true_cost</t>
        </is>
      </c>
      <c r="D2" s="39" t="inlineStr">
        <is>
          <t>notes</t>
        </is>
      </c>
    </row>
    <row r="3" ht="15" customHeight="1" s="37">
      <c r="A3" s="40" t="inlineStr">
        <is>
          <t>Shell</t>
        </is>
      </c>
      <c r="B3" s="44" t="n">
        <v>27548</v>
      </c>
      <c r="C3" s="46" t="n"/>
      <c r="D3" s="42" t="n"/>
    </row>
    <row r="4" ht="15" customHeight="1" s="37">
      <c r="A4" s="40" t="inlineStr">
        <is>
          <t>Chevron C45</t>
        </is>
      </c>
      <c r="B4" s="44" t="n">
        <v>26000</v>
      </c>
      <c r="C4" s="46" t="n"/>
      <c r="D4" s="42" t="n"/>
    </row>
    <row r="5" ht="15" customHeight="1" s="37">
      <c r="A5" s="40" t="inlineStr">
        <is>
          <t>Chevron C60</t>
        </is>
      </c>
      <c r="B5" s="44" t="n">
        <v>34548</v>
      </c>
      <c r="C5" s="46" t="n"/>
      <c r="D5" s="42" t="n"/>
    </row>
    <row r="6" ht="15" customHeight="1" s="37">
      <c r="A6" s="40" t="inlineStr">
        <is>
          <t>Valero</t>
        </is>
      </c>
      <c r="B6" s="44" t="n">
        <v>27000</v>
      </c>
      <c r="C6" s="46" t="n"/>
      <c r="D6" s="42" t="n"/>
    </row>
    <row r="7" ht="15" customHeight="1" s="37">
      <c r="A7" s="40" t="inlineStr">
        <is>
          <t>Unbranded</t>
        </is>
      </c>
      <c r="B7" s="44" t="n">
        <v>25000</v>
      </c>
      <c r="C7" s="46" t="n"/>
      <c r="D7" s="42" t="inlineStr">
        <is>
          <t>Default if no brand chosen.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36" min="1" max="1"/>
    <col width="14" customWidth="1" style="36" min="2" max="3"/>
    <col width="60" customWidth="1" style="36" min="4" max="4"/>
  </cols>
  <sheetData>
    <row r="1" ht="27.75" customHeight="1" s="37">
      <c r="A1" s="38" t="inlineStr">
        <is>
          <t>MID Labor — packaged at-cost (no markup), tax-exempt (it's labor)</t>
        </is>
      </c>
    </row>
    <row r="2" ht="21.75" customHeight="1" s="37">
      <c r="A2" s="39" t="inlineStr">
        <is>
          <t>state</t>
        </is>
      </c>
      <c r="B2" s="39" t="inlineStr">
        <is>
          <t>selling</t>
        </is>
      </c>
      <c r="C2" s="39" t="inlineStr">
        <is>
          <t>true_cost</t>
        </is>
      </c>
      <c r="D2" s="39" t="inlineStr">
        <is>
          <t>notes</t>
        </is>
      </c>
    </row>
    <row r="3" ht="15" customHeight="1" s="37">
      <c r="A3" s="57" t="inlineStr">
        <is>
          <t>GA</t>
        </is>
      </c>
      <c r="B3" s="44" t="n">
        <v>11000</v>
      </c>
      <c r="C3" s="46" t="n"/>
      <c r="D3" s="42" t="inlineStr">
        <is>
          <t>Georgia rate.</t>
        </is>
      </c>
    </row>
    <row r="4" ht="15" customHeight="1" s="37">
      <c r="A4" s="57" t="inlineStr">
        <is>
          <t>TX</t>
        </is>
      </c>
      <c r="B4" s="44" t="n">
        <v>9000</v>
      </c>
      <c r="C4" s="46" t="n"/>
      <c r="D4" s="42" t="inlineStr">
        <is>
          <t>Texas rate.</t>
        </is>
      </c>
    </row>
    <row r="5" ht="15" customHeight="1" s="37">
      <c r="A5" s="58" t="inlineStr">
        <is>
          <t>(other)</t>
        </is>
      </c>
      <c r="B5" s="59" t="inlineStr">
        <is>
          <t>custom</t>
        </is>
      </c>
      <c r="D5" s="52" t="inlineStr">
        <is>
          <t>If state ≠ GA/TX, configurator prompts user for custom amount.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36" min="1" max="1"/>
    <col width="18" customWidth="1" style="36" min="2" max="2"/>
    <col width="30" customWidth="1" style="36" min="3" max="3"/>
  </cols>
  <sheetData>
    <row r="1" ht="27.75" customHeight="1" s="37">
      <c r="A1" s="38" t="inlineStr">
        <is>
          <t>Sales People — auto-fills phone &amp; email on proposal</t>
        </is>
      </c>
    </row>
    <row r="2" ht="21.75" customHeight="1" s="37">
      <c r="A2" s="39" t="inlineStr">
        <is>
          <t>name</t>
        </is>
      </c>
      <c r="B2" s="39" t="inlineStr">
        <is>
          <t>phone</t>
        </is>
      </c>
      <c r="C2" s="39" t="inlineStr">
        <is>
          <t>email</t>
        </is>
      </c>
    </row>
    <row r="3" ht="15" customHeight="1" s="37">
      <c r="A3" s="60" t="inlineStr">
        <is>
          <t>Walid Bayoumi</t>
        </is>
      </c>
      <c r="B3" s="60" t="inlineStr">
        <is>
          <t>770-296-6418</t>
        </is>
      </c>
      <c r="C3" s="60" t="inlineStr">
        <is>
          <t>walid@TheAPECgroup.com</t>
        </is>
      </c>
    </row>
    <row r="4" ht="15" customHeight="1" s="37">
      <c r="A4" s="60" t="inlineStr">
        <is>
          <t>Arash Husain</t>
        </is>
      </c>
      <c r="B4" s="60" t="inlineStr">
        <is>
          <t>770-680-3416</t>
        </is>
      </c>
      <c r="C4" s="60" t="inlineStr">
        <is>
          <t>arash@GeoPetroleum.com</t>
        </is>
      </c>
    </row>
    <row r="5" ht="15" customHeight="1" s="37">
      <c r="A5" s="60" t="inlineStr">
        <is>
          <t>Kamal Budhwani</t>
        </is>
      </c>
      <c r="B5" s="60" t="inlineStr">
        <is>
          <t>346-863-2104</t>
        </is>
      </c>
      <c r="C5" s="60" t="inlineStr">
        <is>
          <t>kamal@GeoPetroleum.com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8" customWidth="1" style="36" min="1" max="1"/>
    <col width="22" customWidth="1" style="36" min="2" max="2"/>
    <col width="13" customWidth="1" style="36" min="3" max="3"/>
    <col width="70" customWidth="1" style="36" min="4" max="4"/>
  </cols>
  <sheetData>
    <row r="1" ht="27.75" customHeight="1" s="37">
      <c r="A1" s="38" t="inlineStr">
        <is>
          <t>Markup &amp; Tax Rules (documentation — configurator does not read this)</t>
        </is>
      </c>
    </row>
    <row r="2" ht="21.75" customHeight="1" s="37">
      <c r="A2" s="39" t="inlineStr">
        <is>
          <t>line_item</t>
        </is>
      </c>
      <c r="B2" s="39" t="inlineStr">
        <is>
          <t>marked_up?</t>
        </is>
      </c>
      <c r="C2" s="39" t="inlineStr">
        <is>
          <t>tax_applies?</t>
        </is>
      </c>
      <c r="D2" s="39" t="inlineStr">
        <is>
          <t>notes</t>
        </is>
      </c>
    </row>
    <row r="3" ht="26.25" customHeight="1" s="37">
      <c r="A3" s="40" t="inlineStr">
        <is>
          <t>ACM</t>
        </is>
      </c>
      <c r="B3" s="57" t="inlineStr">
        <is>
          <t>Yes (only if Unbranded)</t>
        </is>
      </c>
      <c r="C3" s="57" t="inlineStr">
        <is>
          <t>Yes</t>
        </is>
      </c>
      <c r="D3" s="42" t="inlineStr">
        <is>
          <t>When canopy is Branded, ACM is NOT charged — covered in Brand Imaging.</t>
        </is>
      </c>
    </row>
    <row r="4" ht="15" customHeight="1" s="37">
      <c r="A4" s="40" t="inlineStr">
        <is>
          <t>Steel — first set ($4,000/col)</t>
        </is>
      </c>
      <c r="B4" s="57" t="inlineStr">
        <is>
          <t>Yes</t>
        </is>
      </c>
      <c r="C4" s="57" t="inlineStr">
        <is>
          <t>Yes</t>
        </is>
      </c>
      <c r="D4" s="42" t="n"/>
    </row>
    <row r="5" ht="15" customHeight="1" s="37">
      <c r="A5" s="40" t="inlineStr">
        <is>
          <t>Steel — second set ($2,000/col)</t>
        </is>
      </c>
      <c r="B5" s="57" t="inlineStr">
        <is>
          <t>No</t>
        </is>
      </c>
      <c r="C5" s="57" t="inlineStr">
        <is>
          <t>Yes</t>
        </is>
      </c>
      <c r="D5" s="42" t="inlineStr">
        <is>
          <t>Double-col Dive-in only. Sold AT COST.</t>
        </is>
      </c>
    </row>
    <row r="6" ht="15" customHeight="1" s="37">
      <c r="A6" s="40" t="inlineStr">
        <is>
          <t>Decking</t>
        </is>
      </c>
      <c r="B6" s="57" t="inlineStr">
        <is>
          <t>Yes</t>
        </is>
      </c>
      <c r="C6" s="57" t="inlineStr">
        <is>
          <t>Yes</t>
        </is>
      </c>
      <c r="D6" s="42" t="n"/>
    </row>
    <row r="7" ht="15" customHeight="1" s="37">
      <c r="A7" s="40" t="inlineStr">
        <is>
          <t>Lights</t>
        </is>
      </c>
      <c r="B7" s="57" t="inlineStr">
        <is>
          <t>Yes</t>
        </is>
      </c>
      <c r="C7" s="57" t="inlineStr">
        <is>
          <t>Yes</t>
        </is>
      </c>
      <c r="D7" s="42" t="n"/>
    </row>
    <row r="8" ht="15" customHeight="1" s="37">
      <c r="A8" s="40" t="inlineStr">
        <is>
          <t>MISC base</t>
        </is>
      </c>
      <c r="B8" s="57" t="inlineStr">
        <is>
          <t>Yes</t>
        </is>
      </c>
      <c r="C8" s="57" t="inlineStr">
        <is>
          <t>Yes</t>
        </is>
      </c>
      <c r="D8" s="42" t="n"/>
    </row>
    <row r="9" ht="15" customHeight="1" s="37">
      <c r="A9" s="40" t="inlineStr">
        <is>
          <t>Brand imaging material (cheat sheet)</t>
        </is>
      </c>
      <c r="B9" s="57" t="inlineStr">
        <is>
          <t>No</t>
        </is>
      </c>
      <c r="C9" s="57" t="inlineStr">
        <is>
          <t>Yes</t>
        </is>
      </c>
      <c r="D9" s="42" t="inlineStr">
        <is>
          <t>Sold AT COST.</t>
        </is>
      </c>
    </row>
    <row r="10" ht="15" customHeight="1" s="37">
      <c r="A10" s="40" t="inlineStr">
        <is>
          <t>Shipping &amp; handling ($3,500)</t>
        </is>
      </c>
      <c r="B10" s="57" t="inlineStr">
        <is>
          <t>No</t>
        </is>
      </c>
      <c r="C10" s="57" t="inlineStr">
        <is>
          <t>Yes</t>
        </is>
      </c>
      <c r="D10" s="42" t="inlineStr">
        <is>
          <t>Applies when Branded. The $3,500 IS the markup.</t>
        </is>
      </c>
    </row>
    <row r="11" ht="15" customHeight="1" s="37">
      <c r="A11" s="40" t="inlineStr">
        <is>
          <t>MID material (price-sign cheat sheet)</t>
        </is>
      </c>
      <c r="B11" s="57" t="inlineStr">
        <is>
          <t>No</t>
        </is>
      </c>
      <c r="C11" s="57" t="inlineStr">
        <is>
          <t>Yes</t>
        </is>
      </c>
      <c r="D11" s="42" t="inlineStr">
        <is>
          <t>Sold AT COST.</t>
        </is>
      </c>
    </row>
    <row r="12" ht="15" customHeight="1" s="37">
      <c r="A12" s="40" t="inlineStr">
        <is>
          <t>Base labor</t>
        </is>
      </c>
      <c r="B12" s="57" t="inlineStr">
        <is>
          <t>Yes</t>
        </is>
      </c>
      <c r="C12" s="57" t="inlineStr">
        <is>
          <t>No</t>
        </is>
      </c>
      <c r="D12" s="42" t="inlineStr">
        <is>
          <t>Tax-exempt — it's labor.</t>
        </is>
      </c>
    </row>
    <row r="13" ht="15" customHeight="1" s="37">
      <c r="A13" s="40" t="inlineStr">
        <is>
          <t>Branded labor adder ($2,800)</t>
        </is>
      </c>
      <c r="B13" s="57" t="inlineStr">
        <is>
          <t>No</t>
        </is>
      </c>
      <c r="C13" s="57" t="inlineStr">
        <is>
          <t>No</t>
        </is>
      </c>
      <c r="D13" s="42" t="inlineStr">
        <is>
          <t>Sold AT COST. Tax-exempt.</t>
        </is>
      </c>
    </row>
    <row r="14" ht="15" customHeight="1" s="37">
      <c r="A14" s="40" t="inlineStr">
        <is>
          <t>2-dispenser labor adder ($5,000)</t>
        </is>
      </c>
      <c r="B14" s="57" t="inlineStr">
        <is>
          <t>No</t>
        </is>
      </c>
      <c r="C14" s="57" t="inlineStr">
        <is>
          <t>No</t>
        </is>
      </c>
      <c r="D14" s="42" t="inlineStr">
        <is>
          <t>Sold AT COST. Tax-exempt.</t>
        </is>
      </c>
    </row>
    <row r="15" ht="15" customHeight="1" s="37">
      <c r="A15" s="40" t="inlineStr">
        <is>
          <t>MID labor (GA $11k / TX $9k / Custom)</t>
        </is>
      </c>
      <c r="B15" s="57" t="inlineStr">
        <is>
          <t>No</t>
        </is>
      </c>
      <c r="C15" s="57" t="inlineStr">
        <is>
          <t>No</t>
        </is>
      </c>
      <c r="D15" s="42" t="inlineStr">
        <is>
          <t>Pre-packaged at cost. Tax-exempt.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6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36" min="1" max="1"/>
    <col width="16" customWidth="1" style="36" min="2" max="3"/>
    <col width="14" customWidth="1" style="36" min="4" max="4"/>
    <col width="50" customWidth="1" style="36" min="5" max="5"/>
  </cols>
  <sheetData>
    <row r="1" ht="27.75" customHeight="1" s="37">
      <c r="A1" s="38" t="inlineStr">
        <is>
          <t>Internal P&amp;L — Owner Only</t>
        </is>
      </c>
    </row>
    <row r="2" ht="15" customHeight="1" s="37">
      <c r="A2" s="56" t="inlineStr">
        <is>
          <t>Hidden tab. Password 'cheap' to unhide.</t>
        </is>
      </c>
    </row>
    <row r="4" ht="21.75" customHeight="1" s="37">
      <c r="A4" s="61" t="inlineStr">
        <is>
          <t xml:space="preserve">  PRICING LEVERS  (moved from Settings)</t>
        </is>
      </c>
    </row>
    <row r="5" ht="21.75" customHeight="1" s="37">
      <c r="A5" s="39" t="inlineStr">
        <is>
          <t>Parameter</t>
        </is>
      </c>
      <c r="B5" s="39" t="inlineStr">
        <is>
          <t>Value</t>
        </is>
      </c>
      <c r="C5" s="39" t="n"/>
      <c r="D5" s="39" t="n"/>
      <c r="E5" s="39" t="inlineStr">
        <is>
          <t>Notes</t>
        </is>
      </c>
    </row>
    <row r="6" ht="15" customHeight="1" s="37">
      <c r="A6" s="40" t="inlineStr">
        <is>
          <t>gp_default_apec</t>
        </is>
      </c>
      <c r="B6" s="43" t="n">
        <v>0.45</v>
      </c>
      <c r="E6" s="56" t="inlineStr">
        <is>
          <t>Default GP markup for APEC quotes.</t>
        </is>
      </c>
    </row>
    <row r="7" ht="15" customHeight="1" s="37">
      <c r="A7" s="40" t="inlineStr">
        <is>
          <t>gp_default_geo</t>
        </is>
      </c>
      <c r="B7" s="43" t="n">
        <v>0.3</v>
      </c>
      <c r="E7" s="56" t="inlineStr">
        <is>
          <t>Default GP markup for GEO quotes.</t>
        </is>
      </c>
    </row>
    <row r="9" ht="21.75" customHeight="1" s="37">
      <c r="A9" s="61" t="inlineStr">
        <is>
          <t xml:space="preserve">  PROFIT CALCULATOR — INPUTS  (change these to model a quote)</t>
        </is>
      </c>
    </row>
    <row r="10" ht="21.75" customHeight="1" s="37">
      <c r="A10" s="39" t="inlineStr">
        <is>
          <t>Field</t>
        </is>
      </c>
      <c r="B10" s="39" t="inlineStr">
        <is>
          <t>Value</t>
        </is>
      </c>
      <c r="C10" s="39" t="n"/>
      <c r="D10" s="39" t="n"/>
      <c r="E10" s="39" t="inlineStr">
        <is>
          <t>Notes</t>
        </is>
      </c>
    </row>
    <row r="11" ht="15" customHeight="1" s="37">
      <c r="A11" s="40" t="inlineStr">
        <is>
          <t>company</t>
        </is>
      </c>
      <c r="B11" s="41" t="inlineStr">
        <is>
          <t>APEC</t>
        </is>
      </c>
      <c r="E11" s="52" t="inlineStr">
        <is>
          <t>APEC or GEO</t>
        </is>
      </c>
    </row>
    <row r="12" ht="15" customHeight="1" s="37">
      <c r="A12" s="40" t="inlineStr">
        <is>
          <t>dispensers</t>
        </is>
      </c>
      <c r="B12" s="41" t="n">
        <v>4</v>
      </c>
      <c r="E12" s="52" t="inlineStr">
        <is>
          <t>2 to 10</t>
        </is>
      </c>
    </row>
    <row r="13" ht="15" customHeight="1" s="37">
      <c r="A13" s="40" t="inlineStr">
        <is>
          <t>canopy_type</t>
        </is>
      </c>
      <c r="B13" s="41" t="inlineStr">
        <is>
          <t>Dive-in</t>
        </is>
      </c>
      <c r="E13" s="52" t="inlineStr">
        <is>
          <t>Dive-in / Stacked / In-line</t>
        </is>
      </c>
    </row>
    <row r="14" ht="15" customHeight="1" s="37">
      <c r="A14" s="40" t="inlineStr">
        <is>
          <t>column_arrangement</t>
        </is>
      </c>
      <c r="B14" s="41" t="inlineStr">
        <is>
          <t>Single</t>
        </is>
      </c>
      <c r="E14" s="52" t="inlineStr">
        <is>
          <t>Single or Double (Dive-in only)</t>
        </is>
      </c>
    </row>
    <row r="15" ht="15" customHeight="1" s="37">
      <c r="A15" s="40" t="inlineStr">
        <is>
          <t>branded</t>
        </is>
      </c>
      <c r="B15" s="41" t="inlineStr">
        <is>
          <t>No</t>
        </is>
      </c>
      <c r="E15" s="52" t="inlineStr">
        <is>
          <t>Yes or No</t>
        </is>
      </c>
    </row>
    <row r="16" ht="15" customHeight="1" s="37">
      <c r="A16" s="40" t="inlineStr">
        <is>
          <t>brand</t>
        </is>
      </c>
      <c r="B16" s="41" t="n"/>
      <c r="E16" s="52" t="inlineStr">
        <is>
          <t>Brand name (used if branded=Yes)</t>
        </is>
      </c>
    </row>
    <row r="17" ht="15" customHeight="1" s="37">
      <c r="A17" s="40" t="inlineStr">
        <is>
          <t>include_mid</t>
        </is>
      </c>
      <c r="B17" s="41" t="inlineStr">
        <is>
          <t>No</t>
        </is>
      </c>
      <c r="E17" s="52" t="inlineStr">
        <is>
          <t>Yes or No</t>
        </is>
      </c>
    </row>
    <row r="18" ht="15" customHeight="1" s="37">
      <c r="A18" s="40" t="inlineStr">
        <is>
          <t>mid_brand</t>
        </is>
      </c>
      <c r="B18" s="41" t="n"/>
      <c r="E18" s="52" t="inlineStr">
        <is>
          <t>MID/price-sign brand (used if include_mid=Yes)</t>
        </is>
      </c>
    </row>
    <row r="19" ht="15" customHeight="1" s="37">
      <c r="A19" s="40" t="inlineStr">
        <is>
          <t>state</t>
        </is>
      </c>
      <c r="B19" s="41" t="inlineStr">
        <is>
          <t>GA</t>
        </is>
      </c>
      <c r="E19" s="52" t="inlineStr">
        <is>
          <t>Customer state — for MID labor lookup</t>
        </is>
      </c>
    </row>
    <row r="20" ht="15" customHeight="1" s="37">
      <c r="A20" s="40" t="inlineStr">
        <is>
          <t>tax_rate</t>
        </is>
      </c>
      <c r="B20" s="43" t="n">
        <v>0.0825</v>
      </c>
      <c r="E20" s="52" t="inlineStr">
        <is>
          <t>Override Settings default if needed</t>
        </is>
      </c>
    </row>
    <row r="22" ht="21.75" customHeight="1" s="37">
      <c r="A22" s="61" t="inlineStr">
        <is>
          <t xml:space="preserve">  DERIVED VALUES</t>
        </is>
      </c>
    </row>
    <row r="23" ht="21.75" customHeight="1" s="37">
      <c r="A23" s="39" t="inlineStr">
        <is>
          <t>Field</t>
        </is>
      </c>
      <c r="B23" s="39" t="inlineStr">
        <is>
          <t>Value</t>
        </is>
      </c>
      <c r="C23" s="39" t="n"/>
      <c r="D23" s="39" t="n"/>
      <c r="E23" s="39" t="inlineStr">
        <is>
          <t>Formula notes</t>
        </is>
      </c>
    </row>
    <row r="24" ht="15" customHeight="1" s="37">
      <c r="A24" s="40" t="inlineStr">
        <is>
          <t>gp_rate (auto)</t>
        </is>
      </c>
      <c r="B24" s="62">
        <f>IF(B11="APEC", B6, B7)</f>
        <v/>
      </c>
    </row>
    <row r="25" ht="15" customHeight="1" s="37">
      <c r="A25" s="40" t="inlineStr">
        <is>
          <t>width</t>
        </is>
      </c>
      <c r="B25" s="63">
        <f>IF(B13="Stacked", 2*Settings!B5 + (B12/2 - 1)*Settings!B7, IF(B13="In-line", 2*Settings!B5 + (B12-1)*Settings!B8, 2*Settings!B5 + (B12-1)*Settings!B6))</f>
        <v/>
      </c>
    </row>
    <row r="26" ht="15" customHeight="1" s="37">
      <c r="A26" s="40" t="inlineStr">
        <is>
          <t>depth</t>
        </is>
      </c>
      <c r="B26" s="63">
        <f>IF(B13="Stacked", Settings!B10, IF(B13="In-line", Settings!B11, Settings!B9))</f>
        <v/>
      </c>
    </row>
    <row r="27" ht="15" customHeight="1" s="37">
      <c r="A27" s="40" t="inlineStr">
        <is>
          <t>columns</t>
        </is>
      </c>
      <c r="B27" s="63">
        <f>IF(AND(B13="Dive-in", B14="Double"), B12*2, B12)</f>
        <v/>
      </c>
    </row>
    <row r="28" ht="15" customHeight="1" s="37">
      <c r="A28" s="40" t="inlineStr">
        <is>
          <t>acm_panels</t>
        </is>
      </c>
      <c r="B28" s="63">
        <f>CEILING((2*B25 + 2*B26)/Settings!B12, 1)</f>
        <v/>
      </c>
    </row>
    <row r="29" ht="15" customHeight="1" s="37">
      <c r="A29" s="40" t="inlineStr">
        <is>
          <t>base_labor_days</t>
        </is>
      </c>
      <c r="B29" s="63">
        <f>VLOOKUP(B12, Labor_Days!A3:B11, 2, FALSE())</f>
        <v/>
      </c>
    </row>
    <row r="32" ht="21.75" customHeight="1" s="37">
      <c r="A32" s="61" t="inlineStr">
        <is>
          <t xml:space="preserve">  LINE-BY-LINE  ($)  Selling | True Cost | Profit</t>
        </is>
      </c>
    </row>
    <row r="33" ht="21.75" customHeight="1" s="37">
      <c r="A33" s="39" t="inlineStr">
        <is>
          <t>Line item</t>
        </is>
      </c>
      <c r="B33" s="39" t="inlineStr">
        <is>
          <t>Selling</t>
        </is>
      </c>
      <c r="C33" s="39" t="inlineStr">
        <is>
          <t>True cost</t>
        </is>
      </c>
      <c r="D33" s="39" t="inlineStr">
        <is>
          <t>Profit</t>
        </is>
      </c>
      <c r="E33" s="39" t="inlineStr">
        <is>
          <t>Notes</t>
        </is>
      </c>
    </row>
    <row r="34" ht="15" customHeight="1" s="37">
      <c r="A34" s="40" t="inlineStr">
        <is>
          <t>ACM</t>
        </is>
      </c>
      <c r="B34" s="64">
        <f>IF(B15="Yes", 0, B28*Material_Rates!B3)</f>
        <v/>
      </c>
      <c r="C34" s="64">
        <f>IF(B15="Yes", 0, B28*Material_Rates!C3)</f>
        <v/>
      </c>
      <c r="D34" s="64">
        <f>B34-C34</f>
        <v/>
      </c>
      <c r="E34" s="42" t="inlineStr">
        <is>
          <t>Not charged when Branded</t>
        </is>
      </c>
    </row>
    <row r="35" ht="15" customHeight="1" s="37">
      <c r="A35" s="40" t="inlineStr">
        <is>
          <t>Steel — 1st set</t>
        </is>
      </c>
      <c r="B35" s="64">
        <f>B12*Material_Rates!B4</f>
        <v/>
      </c>
      <c r="C35" s="64">
        <f>B12*Material_Rates!C4</f>
        <v/>
      </c>
      <c r="D35" s="64">
        <f>B35-C35</f>
        <v/>
      </c>
      <c r="E35" s="42" t="inlineStr">
        <is>
          <t>Per dispenser × $4k</t>
        </is>
      </c>
    </row>
    <row r="36" ht="15" customHeight="1" s="37">
      <c r="A36" s="40" t="inlineStr">
        <is>
          <t>Steel — 2nd set</t>
        </is>
      </c>
      <c r="B36" s="64">
        <f>IF(AND(B13="Dive-in", B14="Double"), B12*Material_Rates!B5, 0)</f>
        <v/>
      </c>
      <c r="C36" s="64">
        <f>IF(AND(B13="Dive-in", B14="Double"), B12*Material_Rates!C5, 0)</f>
        <v/>
      </c>
      <c r="D36" s="64">
        <f>B36-C36</f>
        <v/>
      </c>
      <c r="E36" s="42" t="inlineStr">
        <is>
          <t>Double-col Dive-in only; AT COST (no markup)</t>
        </is>
      </c>
    </row>
    <row r="37" ht="15" customHeight="1" s="37">
      <c r="A37" s="40" t="inlineStr">
        <is>
          <t>Decking</t>
        </is>
      </c>
      <c r="B37" s="64">
        <f>B27*Material_Rates!B6</f>
        <v/>
      </c>
      <c r="C37" s="64">
        <f>B27*Material_Rates!C6</f>
        <v/>
      </c>
      <c r="D37" s="64">
        <f>B37-C37</f>
        <v/>
      </c>
      <c r="E37" s="42" t="inlineStr">
        <is>
          <t>Per column</t>
        </is>
      </c>
    </row>
    <row r="38" ht="15" customHeight="1" s="37">
      <c r="A38" s="40" t="inlineStr">
        <is>
          <t>Lights</t>
        </is>
      </c>
      <c r="B38" s="64">
        <f>B12*4*Material_Rates!B7</f>
        <v/>
      </c>
      <c r="C38" s="64">
        <f>B12*4*Material_Rates!C7</f>
        <v/>
      </c>
      <c r="D38" s="64">
        <f>B38-C38</f>
        <v/>
      </c>
      <c r="E38" s="42" t="inlineStr">
        <is>
          <t>Dispensers × 4 × unit price</t>
        </is>
      </c>
    </row>
    <row r="39" ht="15" customHeight="1" s="37">
      <c r="A39" s="40" t="inlineStr">
        <is>
          <t>MISC base</t>
        </is>
      </c>
      <c r="B39" s="64">
        <f>IF(B27&lt;=4, MISC_Tiers!C3, IF(B27&lt;=8, MISC_Tiers!C4, MISC_Tiers!C5))</f>
        <v/>
      </c>
      <c r="C39" s="64">
        <f>IF(B27&lt;=4, MISC_Tiers!D3, IF(B27&lt;=8, MISC_Tiers!D4, MISC_Tiers!D5))</f>
        <v/>
      </c>
      <c r="D39" s="64">
        <f>B39-C39</f>
        <v/>
      </c>
      <c r="E39" s="42" t="inlineStr">
        <is>
          <t>Tiered by column count</t>
        </is>
      </c>
    </row>
    <row r="40" ht="15" customHeight="1" s="37">
      <c r="A40" s="40" t="inlineStr">
        <is>
          <t>Shipping &amp; handling</t>
        </is>
      </c>
      <c r="B40" s="64">
        <f>IF(B15="Yes", Settings!B20, 0)</f>
        <v/>
      </c>
      <c r="C40" s="64">
        <f>IF(B15="Yes", Settings!C20, 0)</f>
        <v/>
      </c>
      <c r="D40" s="64">
        <f>B40-C40</f>
        <v/>
      </c>
      <c r="E40" s="42" t="inlineStr">
        <is>
          <t>$3,500 if branded; AT COST</t>
        </is>
      </c>
    </row>
    <row r="41" ht="23.25" customHeight="1" s="37">
      <c r="A41" s="40" t="inlineStr">
        <is>
          <t>Brand imaging material</t>
        </is>
      </c>
      <c r="B41" s="64">
        <f>IF(B15="Yes", IFERROR(INDEX(Brand_Imaging!B3:J9, MATCH(B16, Brand_Imaging!A3:A9, 0), B12-1), 0), 0)</f>
        <v/>
      </c>
      <c r="C41" s="64">
        <f>IF(B15="Yes", IFERROR(INDEX(Brand_Imaging!B3:J9, MATCH(B16, Brand_Imaging!A3:A9, 0), B12-1), 0), 0)</f>
        <v/>
      </c>
      <c r="D41" s="64">
        <f>B41-C41</f>
        <v/>
      </c>
      <c r="E41" s="42" t="inlineStr">
        <is>
          <t>Pure pass-through; selling = true cost (no profit on imaging itself)</t>
        </is>
      </c>
    </row>
    <row r="42" ht="15" customHeight="1" s="37">
      <c r="A42" s="40" t="inlineStr">
        <is>
          <t>MID material</t>
        </is>
      </c>
      <c r="B42" s="64">
        <f>IF(B17="Yes", IFERROR(VLOOKUP(B18, MID_PriceSign!A3:C7, 2, FALSE()), 0), 0)</f>
        <v/>
      </c>
      <c r="C42" s="64">
        <f>IF(B17="Yes", IFERROR(VLOOKUP(B18, MID_PriceSign!A3:C7, 3, FALSE()), 0), 0)</f>
        <v/>
      </c>
      <c r="D42" s="64">
        <f>B42-C42</f>
        <v/>
      </c>
      <c r="E42" s="42" t="inlineStr">
        <is>
          <t>If MID; cheat sheet</t>
        </is>
      </c>
    </row>
    <row r="43" ht="15" customHeight="1" s="37">
      <c r="A43" s="40" t="inlineStr">
        <is>
          <t>Base labor</t>
        </is>
      </c>
      <c r="B43" s="64">
        <f>B29*Settings!B17</f>
        <v/>
      </c>
      <c r="C43" s="64">
        <f>B29*Settings!B17</f>
        <v/>
      </c>
      <c r="D43" s="64">
        <f>B43-C43</f>
        <v/>
      </c>
      <c r="E43" s="42" t="inlineStr">
        <is>
          <t>Marked up at GP; daily rate IS true cost</t>
        </is>
      </c>
    </row>
    <row r="44" ht="15" customHeight="1" s="37">
      <c r="A44" s="40" t="inlineStr">
        <is>
          <t>Branded labor adder</t>
        </is>
      </c>
      <c r="B44" s="64">
        <f>IF(B15="Yes", Settings!B18, 0)</f>
        <v/>
      </c>
      <c r="C44" s="64">
        <f>IF(B15="Yes", Settings!C18, 0)</f>
        <v/>
      </c>
      <c r="D44" s="64">
        <f>B44-C44</f>
        <v/>
      </c>
      <c r="E44" s="42" t="inlineStr">
        <is>
          <t>$2,800 if branded; AT COST</t>
        </is>
      </c>
    </row>
    <row r="45" ht="15" customHeight="1" s="37">
      <c r="A45" s="40" t="inlineStr">
        <is>
          <t>2-dispenser labor adder</t>
        </is>
      </c>
      <c r="B45" s="64">
        <f>IF(B12=2, Settings!B19, 0)</f>
        <v/>
      </c>
      <c r="C45" s="64">
        <f>IF(B12=2, Settings!C19, 0)</f>
        <v/>
      </c>
      <c r="D45" s="64">
        <f>B45-C45</f>
        <v/>
      </c>
      <c r="E45" s="42" t="inlineStr">
        <is>
          <t>$5,000 if 2 disp; AT COST</t>
        </is>
      </c>
    </row>
    <row r="46" ht="15" customHeight="1" s="37">
      <c r="A46" s="40" t="inlineStr">
        <is>
          <t>MID labor</t>
        </is>
      </c>
      <c r="B46" s="64">
        <f>IF(B17="Yes", IFERROR(VLOOKUP(B19, MID_Labor!A3:C4, 2, FALSE()), 0), 0)</f>
        <v/>
      </c>
      <c r="C46" s="64">
        <f>IF(B17="Yes", IFERROR(VLOOKUP(B19, MID_Labor!A3:C4, 3, FALSE()), 0), 0)</f>
        <v/>
      </c>
      <c r="D46" s="64">
        <f>B46-C46</f>
        <v/>
      </c>
      <c r="E46" s="42" t="inlineStr">
        <is>
          <t>If MID; lookup state (custom needs manual override)</t>
        </is>
      </c>
    </row>
    <row r="48" ht="21.75" customHeight="1" s="37">
      <c r="A48" s="61" t="inlineStr">
        <is>
          <t xml:space="preserve">  SUMMARY  (with GP markup, tax, &amp; true profit)</t>
        </is>
      </c>
    </row>
    <row r="49" ht="15" customHeight="1" s="37">
      <c r="A49" s="40" t="inlineStr">
        <is>
          <t>Marked-up material (sub)</t>
        </is>
      </c>
      <c r="B49" s="64">
        <f>B34+B35+B37+B38+B39</f>
        <v/>
      </c>
    </row>
    <row r="50" ht="15" customHeight="1" s="37">
      <c r="A50" s="40" t="inlineStr">
        <is>
          <t>At-cost material (sub)</t>
        </is>
      </c>
      <c r="B50" s="64">
        <f>B36+B40+B41+B42</f>
        <v/>
      </c>
    </row>
    <row r="51" ht="15" customHeight="1" s="37">
      <c r="A51" s="40" t="inlineStr">
        <is>
          <t>Retail material</t>
        </is>
      </c>
      <c r="B51" s="64">
        <f>(B34+B35+B37+B38+B39)*(1+B24) + (B36+B40+B41+B42)</f>
        <v/>
      </c>
    </row>
    <row r="52" ht="15" customHeight="1" s="37">
      <c r="A52" s="40" t="inlineStr">
        <is>
          <t>Marked-up labor (sub)</t>
        </is>
      </c>
      <c r="B52" s="64">
        <f>B43</f>
        <v/>
      </c>
    </row>
    <row r="53" ht="15" customHeight="1" s="37">
      <c r="A53" s="40" t="inlineStr">
        <is>
          <t>At-cost labor (sub)</t>
        </is>
      </c>
      <c r="B53" s="64">
        <f>B44+B45+B46</f>
        <v/>
      </c>
    </row>
    <row r="54" ht="15" customHeight="1" s="37">
      <c r="A54" s="40" t="inlineStr">
        <is>
          <t>Retail labor</t>
        </is>
      </c>
      <c r="B54" s="64">
        <f>(B43)*(1+B24) + (B44+B45+B46)</f>
        <v/>
      </c>
    </row>
    <row r="55" ht="15" customHeight="1" s="37">
      <c r="A55" s="40" t="inlineStr">
        <is>
          <t>Tax base (= retail material)</t>
        </is>
      </c>
      <c r="B55" s="64">
        <f>B51</f>
        <v/>
      </c>
    </row>
    <row r="56" ht="15" customHeight="1" s="37">
      <c r="A56" s="40" t="inlineStr">
        <is>
          <t>Tax (at customer-facing rate)</t>
        </is>
      </c>
      <c r="B56" s="64">
        <f>B55*B20</f>
        <v/>
      </c>
    </row>
    <row r="57" ht="15" customHeight="1" s="37">
      <c r="A57" s="65" t="inlineStr">
        <is>
          <t>Customer pays</t>
        </is>
      </c>
      <c r="B57" s="66">
        <f>B51+B54+B56</f>
        <v/>
      </c>
    </row>
    <row r="58" ht="15" customHeight="1" s="37">
      <c r="A58" s="40" t="inlineStr">
        <is>
          <t>Tax remitted (pass-through)</t>
        </is>
      </c>
      <c r="B58" s="64">
        <f>B56</f>
        <v/>
      </c>
    </row>
    <row r="59" ht="15" customHeight="1" s="37">
      <c r="A59" s="65" t="inlineStr">
        <is>
          <t>Revenue (= retail material + retail labor)</t>
        </is>
      </c>
      <c r="B59" s="66">
        <f>B51+B54</f>
        <v/>
      </c>
    </row>
    <row r="60" ht="15" customHeight="1" s="37">
      <c r="A60" s="40" t="inlineStr">
        <is>
          <t>True cost (material)</t>
        </is>
      </c>
      <c r="B60" s="64">
        <f>(C34+C35+C37+C38+C39)+(C36+C40+C41+C42)</f>
        <v/>
      </c>
    </row>
    <row r="61" ht="15" customHeight="1" s="37">
      <c r="A61" s="40" t="inlineStr">
        <is>
          <t>True cost (labor)</t>
        </is>
      </c>
      <c r="B61" s="64">
        <f>(C43)+(C44+C45+C46)</f>
        <v/>
      </c>
    </row>
    <row r="62" ht="15" customHeight="1" s="37">
      <c r="A62" s="65" t="inlineStr">
        <is>
          <t>True cost (total)</t>
        </is>
      </c>
      <c r="B62" s="66">
        <f>B60+B61</f>
        <v/>
      </c>
    </row>
    <row r="63" ht="17.25" customHeight="1" s="37">
      <c r="A63" s="67" t="inlineStr">
        <is>
          <t>PROFIT</t>
        </is>
      </c>
      <c r="B63" s="68">
        <f>B59-B62</f>
        <v/>
      </c>
    </row>
    <row r="64" ht="17.25" customHeight="1" s="37">
      <c r="A64" s="67" t="inlineStr">
        <is>
          <t>Profit margin %</t>
        </is>
      </c>
      <c r="B64" s="69">
        <f>IFERROR(B63/B59,0)</f>
        <v/>
      </c>
    </row>
  </sheetData>
  <mergeCells count="7">
    <mergeCell ref="A4:E4"/>
    <mergeCell ref="A48:E48"/>
    <mergeCell ref="A2:E2"/>
    <mergeCell ref="A1:E1"/>
    <mergeCell ref="A32:E32"/>
    <mergeCell ref="A22:E22"/>
    <mergeCell ref="A9:E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2026-05-10T20:54:37Z</dcterms:created>
  <dcterms:modified xmlns:dcterms="http://purl.org/dc/terms/" xmlns:xsi="http://www.w3.org/2001/XMLSchema-instance" xsi:type="dcterms:W3CDTF">2026-05-10T21:10:54Z</dcterms:modified>
  <cp:revision>0</cp:revision>
</cp:coreProperties>
</file>