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Ali\Box\Canopies\"/>
    </mc:Choice>
  </mc:AlternateContent>
  <xr:revisionPtr revIDLastSave="0" documentId="13_ncr:1_{F8150DA9-4A4E-42A6-AAD8-F142314A48CF}" xr6:coauthVersionLast="47" xr6:coauthVersionMax="47" xr10:uidLastSave="{00000000-0000-0000-0000-000000000000}"/>
  <workbookProtection workbookAlgorithmName="SHA-512" workbookHashValue="EbHN6S4gmui6wj/Ofq9WjQHiFsGVtLuwDcO9vBWCgfjMxSxcTJsU/HHTy/0unbxSClEc2tq8ms15LJpYemMBPw==" workbookSaltValue="eIwBqwvgkZAQ572EOoftRA==" workbookSpinCount="100000" lockStructure="1"/>
  <bookViews>
    <workbookView xWindow="-120" yWindow="-120" windowWidth="29040" windowHeight="15720" tabRatio="824" activeTab="9" xr2:uid="{00000000-000D-0000-FFFF-FFFF00000000}"/>
  </bookViews>
  <sheets>
    <sheet name="Settings" sheetId="1" r:id="rId1"/>
    <sheet name="Material_Rates" sheetId="2" r:id="rId2"/>
    <sheet name="MISC_Tiers" sheetId="3" r:id="rId3"/>
    <sheet name="Labor_Days" sheetId="4" r:id="rId4"/>
    <sheet name="Brand_Imaging" sheetId="5" r:id="rId5"/>
    <sheet name="MID_PriceSign" sheetId="6" r:id="rId6"/>
    <sheet name="MID_Labor" sheetId="7" r:id="rId7"/>
    <sheet name="Salespeople" sheetId="8" r:id="rId8"/>
    <sheet name="Markup_Rules" sheetId="9" r:id="rId9"/>
    <sheet name="Internal_PL" sheetId="10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6" i="10" l="1"/>
  <c r="B46" i="10"/>
  <c r="C45" i="10"/>
  <c r="B45" i="10"/>
  <c r="D45" i="10" s="1"/>
  <c r="C44" i="10"/>
  <c r="B44" i="10"/>
  <c r="D44" i="10" s="1"/>
  <c r="C42" i="10"/>
  <c r="B42" i="10"/>
  <c r="D42" i="10" s="1"/>
  <c r="C41" i="10"/>
  <c r="B41" i="10"/>
  <c r="D41" i="10" s="1"/>
  <c r="C40" i="10"/>
  <c r="B40" i="10"/>
  <c r="D40" i="10" s="1"/>
  <c r="D38" i="10"/>
  <c r="C38" i="10"/>
  <c r="B38" i="10"/>
  <c r="C36" i="10"/>
  <c r="B36" i="10"/>
  <c r="D36" i="10" s="1"/>
  <c r="C35" i="10"/>
  <c r="B35" i="10"/>
  <c r="D35" i="10" s="1"/>
  <c r="B29" i="10"/>
  <c r="C43" i="10" s="1"/>
  <c r="B61" i="10" s="1"/>
  <c r="B27" i="10"/>
  <c r="C37" i="10" s="1"/>
  <c r="B26" i="10"/>
  <c r="B25" i="10"/>
  <c r="B28" i="10" s="1"/>
  <c r="B24" i="10"/>
  <c r="C17" i="1"/>
  <c r="B17" i="1"/>
  <c r="C6" i="4" s="1"/>
  <c r="C7" i="4" l="1"/>
  <c r="C8" i="4"/>
  <c r="C9" i="4"/>
  <c r="C10" i="4"/>
  <c r="C11" i="4"/>
  <c r="B53" i="10"/>
  <c r="B34" i="10"/>
  <c r="C34" i="10"/>
  <c r="C39" i="10"/>
  <c r="D46" i="10"/>
  <c r="B50" i="10"/>
  <c r="B43" i="10"/>
  <c r="B39" i="10"/>
  <c r="D39" i="10" s="1"/>
  <c r="C3" i="4"/>
  <c r="C4" i="4"/>
  <c r="C5" i="4"/>
  <c r="B37" i="10"/>
  <c r="D37" i="10" s="1"/>
  <c r="B60" i="10" l="1"/>
  <c r="B62" i="10" s="1"/>
  <c r="D43" i="10"/>
  <c r="B52" i="10"/>
  <c r="B54" i="10"/>
  <c r="B51" i="10"/>
  <c r="B49" i="10"/>
  <c r="D34" i="10"/>
  <c r="B59" i="10" l="1"/>
  <c r="B63" i="10" s="1"/>
  <c r="B64" i="10" s="1"/>
  <c r="B55" i="10"/>
  <c r="B56" i="10" s="1"/>
  <c r="B58" i="10" s="1"/>
  <c r="B57" i="10" l="1"/>
</calcChain>
</file>

<file path=xl/sharedStrings.xml><?xml version="1.0" encoding="utf-8"?>
<sst xmlns="http://schemas.openxmlformats.org/spreadsheetml/2006/main" count="316" uniqueCount="250">
  <si>
    <t>Brand Imaging — pass-through AT COST (no markup, no profit). Profit lives in shipping.</t>
  </si>
  <si>
    <t>brand</t>
  </si>
  <si>
    <t>2_disp</t>
  </si>
  <si>
    <t>3_disp</t>
  </si>
  <si>
    <t>4_disp</t>
  </si>
  <si>
    <t>5_disp</t>
  </si>
  <si>
    <t>6_disp</t>
  </si>
  <si>
    <t>7_disp</t>
  </si>
  <si>
    <t>8_disp</t>
  </si>
  <si>
    <t>9_disp</t>
  </si>
  <si>
    <t>10_disp</t>
  </si>
  <si>
    <t>notes</t>
  </si>
  <si>
    <t>Chevron Level I</t>
  </si>
  <si>
    <t>Valero</t>
  </si>
  <si>
    <t>Shell</t>
  </si>
  <si>
    <t>Exxon</t>
  </si>
  <si>
    <t>BP</t>
  </si>
  <si>
    <t>Amoco</t>
  </si>
  <si>
    <t>Texaco</t>
  </si>
  <si>
    <t>Marathon</t>
  </si>
  <si>
    <t>Citgo</t>
  </si>
  <si>
    <t>Brand_PH1</t>
  </si>
  <si>
    <t>Placeholder — pricing not yet entered. Will auto-flip to customer-supplied.</t>
  </si>
  <si>
    <t>Brand_PH2</t>
  </si>
  <si>
    <t>Brand_PH3</t>
  </si>
  <si>
    <t>Brand_PH4</t>
  </si>
  <si>
    <t>Note:</t>
  </si>
  <si>
    <t>Brand imaging is a pure pass-through. We charge what it costs us. Our profit on branded jobs comes from the $3,500 shipping markup (vs actual freight cost), not from imaging.</t>
  </si>
  <si>
    <t>Global Settings &amp; Defaults</t>
  </si>
  <si>
    <t>Parameter</t>
  </si>
  <si>
    <t>Value</t>
  </si>
  <si>
    <t>True Cost</t>
  </si>
  <si>
    <t>Notes</t>
  </si>
  <si>
    <t>canopy_height_default_ft</t>
  </si>
  <si>
    <t>Standard canopy height. 20 ft is blocked by configurator.</t>
  </si>
  <si>
    <t>default_dispensers</t>
  </si>
  <si>
    <t>Initial dispenser count shown to user.</t>
  </si>
  <si>
    <t>default_overhang_ft</t>
  </si>
  <si>
    <t>Overhang each side. Used in width formula.</t>
  </si>
  <si>
    <t>default_distance_dive_in_ft</t>
  </si>
  <si>
    <t>Default distance between dispensers (Dive-in).</t>
  </si>
  <si>
    <t>default_distance_stacked_ft</t>
  </si>
  <si>
    <t>Default distance per row (Stacked).</t>
  </si>
  <si>
    <t>default_distance_in_line_ft</t>
  </si>
  <si>
    <t>Default distance (In-line).</t>
  </si>
  <si>
    <t>depth_dive_in_ft</t>
  </si>
  <si>
    <t>Fixed depth for Dive-in.</t>
  </si>
  <si>
    <t>depth_stacked_ft</t>
  </si>
  <si>
    <t>Fixed depth for Stacked (2 rows).</t>
  </si>
  <si>
    <t>depth_in_line_ft</t>
  </si>
  <si>
    <t>Fixed depth for In-line.</t>
  </si>
  <si>
    <t>acm_panel_width_ft</t>
  </si>
  <si>
    <t>Panel width — used in ACM formula.</t>
  </si>
  <si>
    <t>tax_default_rate</t>
  </si>
  <si>
    <t>Default sales tax rate.</t>
  </si>
  <si>
    <t>laborer_count</t>
  </si>
  <si>
    <t>Number of laborers per crew.</t>
  </si>
  <si>
    <t>hours_per_day</t>
  </si>
  <si>
    <t>Hours per laborer per day.</t>
  </si>
  <si>
    <t>hourly_rate</t>
  </si>
  <si>
    <t>Dollar rate per laborer-hour.</t>
  </si>
  <si>
    <t>labor_daily_rate</t>
  </si>
  <si>
    <t>Derived: laborer_count × hours × rate. Should equal $1,200/day.</t>
  </si>
  <si>
    <t>branded_labor_adder</t>
  </si>
  <si>
    <t>Added to labor when canopy is Branded. Sold AT COST (no GP markup).</t>
  </si>
  <si>
    <t>two_disp_labor_adder</t>
  </si>
  <si>
    <t>Added when dispensers = 2. Sold AT COST (no GP markup).</t>
  </si>
  <si>
    <t>shipping_handling</t>
  </si>
  <si>
    <t>Added to MISC when branded. Sold AT COST — this $3,500 IS the markup.</t>
  </si>
  <si>
    <t>gas_default_left_overhang_ft</t>
  </si>
  <si>
    <t>Default LO when fuel=Gas.</t>
  </si>
  <si>
    <t>gas_default_right_overhang_ft</t>
  </si>
  <si>
    <t>Default RO when fuel=Gas.</t>
  </si>
  <si>
    <t>gas_default_dispenser_spacing_ft</t>
  </si>
  <si>
    <t>Default center-to-center spacing (Gas).</t>
  </si>
  <si>
    <t>gas_default_depth_ft</t>
  </si>
  <si>
    <t>Default canopy depth (Gas).</t>
  </si>
  <si>
    <t>diesel_default_left_overhang_ft</t>
  </si>
  <si>
    <t>Default LO when fuel=Diesel.</t>
  </si>
  <si>
    <t>diesel_default_right_overhang_ft</t>
  </si>
  <si>
    <t>Default RO when fuel=Diesel.</t>
  </si>
  <si>
    <t>diesel_default_dispenser_spacing_ft</t>
  </si>
  <si>
    <t>Default spacing (Diesel).</t>
  </si>
  <si>
    <t>diesel_default_depth_ft</t>
  </si>
  <si>
    <t>Default canopy depth (Diesel).</t>
  </si>
  <si>
    <t>distance_threshold_miles</t>
  </si>
  <si>
    <t>Distance trigger (over this → travel adder applies).</t>
  </si>
  <si>
    <t>Material Unit Rates</t>
  </si>
  <si>
    <t>Selling</t>
  </si>
  <si>
    <t>acm_per_panel</t>
  </si>
  <si>
    <t>Per 10-ft ACM panel. Marked up at GP (when Unbranded only).</t>
  </si>
  <si>
    <t>steel_primary_per_col</t>
  </si>
  <si>
    <t>Standard column. Marked up at GP.</t>
  </si>
  <si>
    <t>steel_secondary_per_col</t>
  </si>
  <si>
    <t>Second-set column on double-col Dive-in. Sold AT COST.</t>
  </si>
  <si>
    <t>decking_per_col</t>
  </si>
  <si>
    <t>Per column. Marked up at GP.</t>
  </si>
  <si>
    <t>light_unit_price_standard</t>
  </si>
  <si>
    <t>Per light. FLAT price - NOT marked up by GP. Retail is final price, cost is true cost. Default light type.</t>
  </si>
  <si>
    <t>light_unit_price_lsi</t>
  </si>
  <si>
    <t>Per LSI light. FLAT price - NOT marked up by GP. Retail is final price, cost is true cost. Premium option.</t>
  </si>
  <si>
    <t>distance_adder_per_install_day</t>
  </si>
  <si>
    <t>Per canopy install day, if site &gt; distance_threshold_miles. Folded silently into canopy installation.</t>
  </si>
  <si>
    <t>demo_default</t>
  </si>
  <si>
    <t>Existing canopy removal — default retail/cost, overridable at quote time.</t>
  </si>
  <si>
    <t>flood_light_unit_price</t>
  </si>
  <si>
    <t>Per flood light. FLAT price - NOT marked up by GP. Retail is final price, cost is true cost. Per-light rate overridable (upward) at quote time.</t>
  </si>
  <si>
    <t>MISC Pricing — Tiered by Column Count</t>
  </si>
  <si>
    <t>cols_low</t>
  </si>
  <si>
    <t>cols_high</t>
  </si>
  <si>
    <t>selling</t>
  </si>
  <si>
    <t>true_cost</t>
  </si>
  <si>
    <t>Paint, Transportation, Insurance, PM, Shipping &amp; Handling base</t>
  </si>
  <si>
    <t>Labor Days by Dispenser Count</t>
  </si>
  <si>
    <t>dispensers</t>
  </si>
  <si>
    <t>days</t>
  </si>
  <si>
    <t>base_labor_$</t>
  </si>
  <si>
    <t>Base labor IS the true cost (4×10×$40). Markup happens via × (1+GP).</t>
  </si>
  <si>
    <t>MID / Price Sign Material — sold AT COST (no GP markup), tax applies</t>
  </si>
  <si>
    <t>Chevron C45</t>
  </si>
  <si>
    <t>Chevron C60</t>
  </si>
  <si>
    <t>Unbranded</t>
  </si>
  <si>
    <t>Default if no brand chosen.</t>
  </si>
  <si>
    <t>MID Labor — packaged at-cost (no markup), tax-exempt (it's labor). Per-company defaults; overridable.</t>
  </si>
  <si>
    <t>company</t>
  </si>
  <si>
    <t>APEC</t>
  </si>
  <si>
    <t>APEC default MID installation labor. Overridable per quote.</t>
  </si>
  <si>
    <t>GEO</t>
  </si>
  <si>
    <t>GEO default MID installation labor. Overridable per quote.</t>
  </si>
  <si>
    <t>Sales People — auto-fills phone &amp; email on proposal</t>
  </si>
  <si>
    <t>name</t>
  </si>
  <si>
    <t>phone</t>
  </si>
  <si>
    <t>email</t>
  </si>
  <si>
    <t>Walid Bayoumi</t>
  </si>
  <si>
    <t>770-296-6418</t>
  </si>
  <si>
    <t>walid@TheAPECgroup.com</t>
  </si>
  <si>
    <t>Arash Husain</t>
  </si>
  <si>
    <t>770-680-3416</t>
  </si>
  <si>
    <t>arash@GeoPetroleum.com</t>
  </si>
  <si>
    <t>Kamal Budhwani</t>
  </si>
  <si>
    <t>346-863-2104</t>
  </si>
  <si>
    <t>kamal@GeoPetroleum.com</t>
  </si>
  <si>
    <t>Markup &amp; Tax Rules (documentation — configurator does not read this)</t>
  </si>
  <si>
    <t>line_item</t>
  </si>
  <si>
    <t>marked_up?</t>
  </si>
  <si>
    <t>tax_applies?</t>
  </si>
  <si>
    <t>ACM</t>
  </si>
  <si>
    <t>Yes (only if Unbranded)</t>
  </si>
  <si>
    <t>Yes</t>
  </si>
  <si>
    <t>When canopy is Branded, ACM is NOT charged — covered in Brand Imaging.</t>
  </si>
  <si>
    <t>Steel — first set ($4,000/col)</t>
  </si>
  <si>
    <t>Steel — second set ($2,000/col)</t>
  </si>
  <si>
    <t>No</t>
  </si>
  <si>
    <t>Double-col Dive-in only. Sold AT COST.</t>
  </si>
  <si>
    <t>Decking</t>
  </si>
  <si>
    <t>Lights</t>
  </si>
  <si>
    <t>Sold FLAT - retail is the final price, no GP markup. Tax applies.</t>
  </si>
  <si>
    <t>MISC base</t>
  </si>
  <si>
    <t>Brand imaging material (cheat sheet)</t>
  </si>
  <si>
    <t>Sold AT COST.</t>
  </si>
  <si>
    <t>Shipping &amp; handling ($3,500)</t>
  </si>
  <si>
    <t>Applies when Branded. The $3,500 IS the markup.</t>
  </si>
  <si>
    <t>MID material (price-sign cheat sheet)</t>
  </si>
  <si>
    <t>Base labor</t>
  </si>
  <si>
    <t>Tax-exempt — it's labor.</t>
  </si>
  <si>
    <t>Branded labor adder ($2,800)</t>
  </si>
  <si>
    <t>Sold AT COST. Tax-exempt.</t>
  </si>
  <si>
    <t>2-dispenser labor adder ($5,000)</t>
  </si>
  <si>
    <t>MID labor (GA $11k / TX $9k / Custom)</t>
  </si>
  <si>
    <t>Pre-packaged at cost. Tax-exempt.</t>
  </si>
  <si>
    <t>Flood lights</t>
  </si>
  <si>
    <t>Sold FLAT - retail is final price, no GP markup. Tax applies. Optional add-on; per-light rate overridable upward.</t>
  </si>
  <si>
    <t>Internal P&amp;L — Owner Only</t>
  </si>
  <si>
    <t>Hidden tab. Password 'cheap' to unhide.</t>
  </si>
  <si>
    <t xml:space="preserve">  PRICING LEVERS  (moved from Settings)</t>
  </si>
  <si>
    <t>gp_default_apec</t>
  </si>
  <si>
    <t>Default GP markup for APEC quotes.</t>
  </si>
  <si>
    <t>gp_default_geo</t>
  </si>
  <si>
    <t>Default GP markup for GEO quotes.</t>
  </si>
  <si>
    <t xml:space="preserve">  PROFIT CALCULATOR — INPUTS  (change these to model a quote)</t>
  </si>
  <si>
    <t>Field</t>
  </si>
  <si>
    <t>APEC or GEO</t>
  </si>
  <si>
    <t>2 to 10</t>
  </si>
  <si>
    <t>canopy_type</t>
  </si>
  <si>
    <t>Dive-in</t>
  </si>
  <si>
    <t>Dive-in / Stacked / In-line</t>
  </si>
  <si>
    <t>column_arrangement</t>
  </si>
  <si>
    <t>Single</t>
  </si>
  <si>
    <t>Single or Double (Dive-in only)</t>
  </si>
  <si>
    <t>branded</t>
  </si>
  <si>
    <t>Yes or No</t>
  </si>
  <si>
    <t>Brand name (used if branded=Yes)</t>
  </si>
  <si>
    <t>include_mid</t>
  </si>
  <si>
    <t>mid_brand</t>
  </si>
  <si>
    <t>MID/price-sign brand (used if include_mid=Yes)</t>
  </si>
  <si>
    <t>state</t>
  </si>
  <si>
    <t>GA</t>
  </si>
  <si>
    <t>Customer state — for MID labor lookup</t>
  </si>
  <si>
    <t>tax_rate</t>
  </si>
  <si>
    <t>Override Settings default if needed</t>
  </si>
  <si>
    <t xml:space="preserve">  DERIVED VALUES</t>
  </si>
  <si>
    <t>Formula notes</t>
  </si>
  <si>
    <t>gp_rate (auto)</t>
  </si>
  <si>
    <t>width</t>
  </si>
  <si>
    <t>depth</t>
  </si>
  <si>
    <t>columns</t>
  </si>
  <si>
    <t>acm_panels</t>
  </si>
  <si>
    <t>base_labor_days</t>
  </si>
  <si>
    <t xml:space="preserve">  LINE-BY-LINE  ($)  Selling | True Cost | Profit</t>
  </si>
  <si>
    <t>Line item</t>
  </si>
  <si>
    <t>True cost</t>
  </si>
  <si>
    <t>Profit</t>
  </si>
  <si>
    <t>Not charged when Branded</t>
  </si>
  <si>
    <t>Steel — 1st set</t>
  </si>
  <si>
    <t>Per dispenser × $4k</t>
  </si>
  <si>
    <t>Steel — 2nd set</t>
  </si>
  <si>
    <t>Double-col Dive-in only; AT COST (no markup)</t>
  </si>
  <si>
    <t>Per column</t>
  </si>
  <si>
    <t>Dispensers × 4 × unit price</t>
  </si>
  <si>
    <t>Tiered by column count</t>
  </si>
  <si>
    <t>Shipping &amp; handling</t>
  </si>
  <si>
    <t>$3,500 if branded; AT COST</t>
  </si>
  <si>
    <t>Brand imaging material</t>
  </si>
  <si>
    <t>Pure pass-through; selling = true cost (no profit on imaging itself)</t>
  </si>
  <si>
    <t>MID material</t>
  </si>
  <si>
    <t>If MID; cheat sheet</t>
  </si>
  <si>
    <t>Marked up at GP; daily rate IS true cost</t>
  </si>
  <si>
    <t>Branded labor adder</t>
  </si>
  <si>
    <t>$2,800 if branded; AT COST</t>
  </si>
  <si>
    <t>2-dispenser labor adder</t>
  </si>
  <si>
    <t>$5,000 if 2 disp; AT COST</t>
  </si>
  <si>
    <t>MID labor</t>
  </si>
  <si>
    <t>If MID; lookup state (custom needs manual override)</t>
  </si>
  <si>
    <t xml:space="preserve">  SUMMARY  (with GP markup, tax, &amp; true profit)</t>
  </si>
  <si>
    <t>Marked-up material (sub)</t>
  </si>
  <si>
    <t>At-cost material (sub)</t>
  </si>
  <si>
    <t>Retail material</t>
  </si>
  <si>
    <t>Marked-up labor (sub)</t>
  </si>
  <si>
    <t>At-cost labor (sub)</t>
  </si>
  <si>
    <t>Retail labor</t>
  </si>
  <si>
    <t>Tax base (= retail material)</t>
  </si>
  <si>
    <t>Tax (at customer-facing rate)</t>
  </si>
  <si>
    <t>Customer pays</t>
  </si>
  <si>
    <t>Tax remitted (pass-through)</t>
  </si>
  <si>
    <t>Revenue (= retail material + retail labor)</t>
  </si>
  <si>
    <t>True cost (material)</t>
  </si>
  <si>
    <t>True cost (labor)</t>
  </si>
  <si>
    <t>True cost (total)</t>
  </si>
  <si>
    <t>PROFIT</t>
  </si>
  <si>
    <t>Profit margin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</si>
</sst>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6" formatCode="&quot;$&quot;#,##0_);[Red]\(&quot;$&quot;#,##0\)"/>
    <numFmt numFmtId="164" formatCode="0.00%;[Red]\(0.00%\);\-"/>
    <numFmt numFmtId="165" formatCode="\$#,##0;[Red]&quot;($&quot;#,##0\);\-"/>
    <numFmt numFmtId="166" formatCode="\$#,##0.00;[Red]&quot;($&quot;#,##0.00\);\-"/>
  </numFmts>
  <fonts count="12" x14ac:knownFonts="1">
    <font>
      <sz val="11"/>
      <color theme="1"/>
      <name val="Calibri"/>
      <family val="2"/>
      <charset val="1"/>
    </font>
    <font>
      <b/>
      <sz val="14"/>
      <color rgb="FFFFFFFF"/>
      <name val="Arial"/>
      <family val="2"/>
    </font>
    <font>
      <b/>
      <sz val="11"/>
      <color rgb="FFFFFFFF"/>
      <name val="Arial"/>
      <family val="2"/>
    </font>
    <font>
      <sz val="11"/>
      <name val="Arial"/>
      <family val="2"/>
    </font>
    <font>
      <sz val="11"/>
      <color rgb="FF0000FF"/>
      <name val="Arial"/>
      <family val="2"/>
    </font>
    <font>
      <i/>
      <sz val="10"/>
      <color rgb="FF6A7A8C"/>
      <name val="Arial"/>
      <family val="2"/>
    </font>
    <font>
      <sz val="11"/>
      <color rgb="FF000000"/>
      <name val="Arial"/>
      <family val="2"/>
    </font>
    <font>
      <b/>
      <i/>
      <sz val="10"/>
      <color rgb="FF6A7A8C"/>
      <name val="Arial"/>
      <family val="2"/>
    </font>
    <font>
      <b/>
      <sz val="12"/>
      <color rgb="FFFFFFFF"/>
      <name val="Arial"/>
      <family val="2"/>
    </font>
    <font>
      <b/>
      <sz val="11"/>
      <color rgb="FF1B3A5C"/>
      <name val="Arial"/>
      <family val="2"/>
    </font>
    <font>
      <b/>
      <sz val="14"/>
      <color rgb="FF1B3A5C"/>
      <name val="Arial"/>
      <family val="2"/>
    </font>
    <font>
      <i/>
      <sz val="10"/>
      <color rgb="FF6A7A8C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1B3A5C"/>
        <bgColor rgb="FF333333"/>
      </patternFill>
    </fill>
    <fill>
      <patternFill patternType="solid">
        <fgColor rgb="FFFFFFE0"/>
        <bgColor rgb="FFFFFFFF"/>
      </patternFill>
    </fill>
    <fill>
      <patternFill patternType="solid">
        <fgColor rgb="FFD4EDDA"/>
        <bgColor rgb="FFCCFFFF"/>
      </patternFill>
    </fill>
    <fill>
      <patternFill patternType="solid">
        <fgColor rgb="FFFFFFE0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2"/>
  </cellStyleXfs>
  <cellXfs count="40">
    <xf numFmtId="0" fontId="0" fillId="0" borderId="0" xfId="0" applyBorder="1"/>
    <xf numFmtId="0" fontId="2" fillId="2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right" vertical="center" wrapText="1"/>
    </xf>
    <xf numFmtId="0" fontId="5" fillId="0" borderId="1" xfId="0" applyFont="1" applyBorder="1" applyAlignment="1">
      <alignment horizontal="left" vertical="center" wrapText="1"/>
    </xf>
    <xf numFmtId="164" fontId="4" fillId="0" borderId="1" xfId="0" applyNumberFormat="1" applyFont="1" applyBorder="1" applyAlignment="1">
      <alignment horizontal="right" vertical="center" wrapText="1"/>
    </xf>
    <xf numFmtId="165" fontId="4" fillId="0" borderId="1" xfId="0" applyNumberFormat="1" applyFont="1" applyBorder="1" applyAlignment="1">
      <alignment horizontal="right" vertical="center" wrapText="1"/>
    </xf>
    <xf numFmtId="165" fontId="6" fillId="0" borderId="1" xfId="0" applyNumberFormat="1" applyFont="1" applyBorder="1" applyAlignment="1">
      <alignment horizontal="right" vertical="center" wrapText="1"/>
    </xf>
    <xf numFmtId="165" fontId="4" fillId="3" borderId="1" xfId="0" applyNumberFormat="1" applyFont="1" applyFill="1" applyBorder="1" applyAlignment="1">
      <alignment horizontal="right" vertical="center" wrapText="1"/>
    </xf>
    <xf numFmtId="0" fontId="4" fillId="0" borderId="1" xfId="0" applyFont="1" applyBorder="1" applyAlignment="1">
      <alignment horizontal="center" vertical="center" wrapText="1"/>
    </xf>
    <xf numFmtId="165" fontId="4" fillId="0" borderId="1" xfId="0" applyNumberFormat="1" applyFont="1" applyBorder="1" applyAlignment="1">
      <alignment horizontal="center" vertical="center" wrapText="1"/>
    </xf>
    <xf numFmtId="165" fontId="4" fillId="3" borderId="1" xfId="0" applyNumberFormat="1" applyFont="1" applyFill="1" applyBorder="1" applyAlignment="1">
      <alignment horizontal="center" vertical="center" wrapText="1"/>
    </xf>
    <xf numFmtId="165" fontId="6" fillId="0" borderId="1" xfId="0" applyNumberFormat="1" applyFont="1" applyBorder="1" applyAlignment="1">
      <alignment horizontal="center" vertical="center" wrapText="1"/>
    </xf>
    <xf numFmtId="0" fontId="7" fillId="0" borderId="0" xfId="0" applyFont="1" applyBorder="1"/>
    <xf numFmtId="0" fontId="5" fillId="0" borderId="0" xfId="0" applyFont="1" applyBorder="1" applyAlignment="1">
      <alignment horizontal="left" vertical="center" wrapText="1"/>
    </xf>
    <xf numFmtId="0" fontId="3" fillId="3" borderId="1" xfId="0" applyFont="1" applyFill="1" applyBorder="1" applyAlignment="1">
      <alignment horizontal="left" vertical="center" wrapText="1"/>
    </xf>
    <xf numFmtId="0" fontId="5" fillId="3" borderId="1" xfId="0" applyFont="1" applyFill="1" applyBorder="1" applyAlignment="1">
      <alignment horizontal="left" vertical="center" wrapText="1"/>
    </xf>
    <xf numFmtId="0" fontId="0" fillId="3" borderId="0" xfId="0" applyFill="1" applyBorder="1"/>
    <xf numFmtId="0" fontId="5" fillId="0" borderId="0" xfId="0" applyFont="1" applyBorder="1"/>
    <xf numFmtId="0" fontId="3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 wrapText="1"/>
    </xf>
    <xf numFmtId="164" fontId="6" fillId="0" borderId="1" xfId="0" applyNumberFormat="1" applyFont="1" applyBorder="1" applyAlignment="1">
      <alignment horizontal="right" vertical="center" wrapText="1"/>
    </xf>
    <xf numFmtId="1" fontId="6" fillId="0" borderId="1" xfId="0" applyNumberFormat="1" applyFont="1" applyBorder="1" applyAlignment="1">
      <alignment horizontal="right" vertical="center" wrapText="1"/>
    </xf>
    <xf numFmtId="166" fontId="6" fillId="0" borderId="1" xfId="0" applyNumberFormat="1" applyFont="1" applyBorder="1" applyAlignment="1">
      <alignment horizontal="right" vertical="center" wrapText="1"/>
    </xf>
    <xf numFmtId="0" fontId="9" fillId="0" borderId="1" xfId="0" applyFont="1" applyBorder="1" applyAlignment="1">
      <alignment horizontal="left" vertical="center" wrapText="1"/>
    </xf>
    <xf numFmtId="166" fontId="9" fillId="0" borderId="1" xfId="0" applyNumberFormat="1" applyFont="1" applyBorder="1" applyAlignment="1">
      <alignment horizontal="right" vertical="center" wrapText="1"/>
    </xf>
    <xf numFmtId="0" fontId="10" fillId="4" borderId="1" xfId="0" applyFont="1" applyFill="1" applyBorder="1" applyAlignment="1">
      <alignment horizontal="left" vertical="center" wrapText="1"/>
    </xf>
    <xf numFmtId="166" fontId="10" fillId="4" borderId="1" xfId="0" applyNumberFormat="1" applyFont="1" applyFill="1" applyBorder="1" applyAlignment="1">
      <alignment horizontal="right" vertical="center" wrapText="1"/>
    </xf>
    <xf numFmtId="164" fontId="10" fillId="4" borderId="1" xfId="0" applyNumberFormat="1" applyFont="1" applyFill="1" applyBorder="1" applyAlignment="1">
      <alignment horizontal="right" vertical="center" wrapText="1"/>
    </xf>
    <xf numFmtId="0" fontId="4" fillId="0" borderId="2" xfId="0" applyFont="1" applyAlignment="1">
      <alignment horizontal="right" vertical="center" wrapText="1"/>
    </xf>
    <xf numFmtId="164" fontId="4" fillId="0" borderId="2" xfId="0" applyNumberFormat="1" applyFont="1" applyAlignment="1">
      <alignment horizontal="right" vertical="center" wrapText="1"/>
    </xf>
    <xf numFmtId="165" fontId="11" fillId="0" borderId="3" xfId="0" applyNumberFormat="1" applyFont="1" applyBorder="1" applyAlignment="1">
      <alignment horizontal="center" vertical="center"/>
    </xf>
    <xf numFmtId="165" fontId="4" fillId="5" borderId="3" xfId="0" applyNumberFormat="1" applyFont="1" applyFill="1" applyBorder="1" applyAlignment="1">
      <alignment horizontal="right" vertical="center" wrapText="1"/>
    </xf>
    <xf numFmtId="6" fontId="4" fillId="0" borderId="3" xfId="0" applyNumberFormat="1" applyFont="1" applyBorder="1" applyAlignment="1">
      <alignment horizontal="right" vertical="center" wrapText="1"/>
    </xf>
    <xf numFmtId="0" fontId="0" fillId="0" borderId="2" xfId="0"/>
    <xf numFmtId="0" fontId="5" fillId="0" borderId="2" xfId="0" applyFont="1"/>
    <xf numFmtId="0" fontId="0" fillId="0" borderId="0" xfId="0" applyBorder="1"/>
    <xf numFmtId="0" fontId="1" fillId="2" borderId="2" xfId="0" applyFont="1" applyFill="1" applyAlignment="1">
      <alignment horizontal="center" vertical="center" wrapText="1"/>
    </xf>
    <xf numFmtId="0" fontId="5" fillId="0" borderId="2" xfId="0" applyFont="1" applyAlignment="1">
      <alignment horizontal="left" vertical="center" wrapText="1"/>
    </xf>
    <xf numFmtId="0" fontId="8" fillId="2" borderId="2" xfId="0" applyFont="1" applyFill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6A7A8C"/>
      <rgbColor rgb="FF9999FF"/>
      <rgbColor rgb="FF993366"/>
      <rgbColor rgb="FFFFFFE0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4ED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B3A5C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9"/>
  <sheetViews>
    <sheetView topLeftCell="A5" zoomScale="130" zoomScaleNormal="130" workbookViewId="0">
      <selection activeCell="C17" sqref="C17"/>
    </sheetView>
  </sheetViews>
  <sheetFormatPr defaultColWidth="8.7109375" defaultRowHeight="15" x14ac:dyDescent="0.25"/>
  <cols>
    <col min="1" max="1" width="32" customWidth="1"/>
    <col min="2" max="3" width="14" customWidth="1"/>
    <col min="4" max="4" width="70" customWidth="1"/>
  </cols>
  <sheetData>
    <row r="1" spans="1:4" ht="27.75" customHeight="1" x14ac:dyDescent="0.25">
      <c r="A1" s="37" t="s">
        <v>28</v>
      </c>
      <c r="B1" s="36"/>
      <c r="C1" s="36"/>
      <c r="D1" s="36"/>
    </row>
    <row r="2" spans="1:4" ht="21.75" customHeight="1" x14ac:dyDescent="0.25">
      <c r="A2" s="1" t="s">
        <v>29</v>
      </c>
      <c r="B2" s="1" t="s">
        <v>30</v>
      </c>
      <c r="C2" s="1" t="s">
        <v>31</v>
      </c>
      <c r="D2" s="1" t="s">
        <v>32</v>
      </c>
    </row>
    <row r="3" spans="1:4" ht="15" customHeight="1" x14ac:dyDescent="0.25">
      <c r="A3" s="2" t="s">
        <v>33</v>
      </c>
      <c r="B3" s="3">
        <v>16.5</v>
      </c>
      <c r="C3" s="29"/>
      <c r="D3" s="4" t="s">
        <v>34</v>
      </c>
    </row>
    <row r="4" spans="1:4" ht="15" customHeight="1" x14ac:dyDescent="0.25">
      <c r="A4" s="2" t="s">
        <v>35</v>
      </c>
      <c r="B4" s="3">
        <v>4</v>
      </c>
      <c r="C4" s="29"/>
      <c r="D4" s="4" t="s">
        <v>36</v>
      </c>
    </row>
    <row r="5" spans="1:4" ht="15" customHeight="1" x14ac:dyDescent="0.25">
      <c r="A5" s="2" t="s">
        <v>37</v>
      </c>
      <c r="B5" s="3">
        <v>10</v>
      </c>
      <c r="C5" s="29"/>
      <c r="D5" s="4" t="s">
        <v>38</v>
      </c>
    </row>
    <row r="6" spans="1:4" ht="15" customHeight="1" x14ac:dyDescent="0.25">
      <c r="A6" s="2" t="s">
        <v>39</v>
      </c>
      <c r="B6" s="3">
        <v>28</v>
      </c>
      <c r="C6" s="29"/>
      <c r="D6" s="4" t="s">
        <v>40</v>
      </c>
    </row>
    <row r="7" spans="1:4" ht="15" customHeight="1" x14ac:dyDescent="0.25">
      <c r="A7" s="2" t="s">
        <v>41</v>
      </c>
      <c r="B7" s="3">
        <v>28</v>
      </c>
      <c r="C7" s="29"/>
      <c r="D7" s="4" t="s">
        <v>42</v>
      </c>
    </row>
    <row r="8" spans="1:4" ht="15" customHeight="1" x14ac:dyDescent="0.25">
      <c r="A8" s="2" t="s">
        <v>43</v>
      </c>
      <c r="B8" s="3">
        <v>20</v>
      </c>
      <c r="C8" s="29"/>
      <c r="D8" s="4" t="s">
        <v>44</v>
      </c>
    </row>
    <row r="9" spans="1:4" ht="15" customHeight="1" x14ac:dyDescent="0.25">
      <c r="A9" s="2" t="s">
        <v>45</v>
      </c>
      <c r="B9" s="3">
        <v>24</v>
      </c>
      <c r="C9" s="29"/>
      <c r="D9" s="4" t="s">
        <v>46</v>
      </c>
    </row>
    <row r="10" spans="1:4" ht="15" customHeight="1" x14ac:dyDescent="0.25">
      <c r="A10" s="2" t="s">
        <v>47</v>
      </c>
      <c r="B10" s="3">
        <v>48</v>
      </c>
      <c r="C10" s="29"/>
      <c r="D10" s="4" t="s">
        <v>48</v>
      </c>
    </row>
    <row r="11" spans="1:4" ht="15" customHeight="1" x14ac:dyDescent="0.25">
      <c r="A11" s="2" t="s">
        <v>49</v>
      </c>
      <c r="B11" s="3">
        <v>24</v>
      </c>
      <c r="C11" s="29"/>
      <c r="D11" s="4" t="s">
        <v>50</v>
      </c>
    </row>
    <row r="12" spans="1:4" ht="15" customHeight="1" x14ac:dyDescent="0.25">
      <c r="A12" s="2" t="s">
        <v>51</v>
      </c>
      <c r="B12" s="3">
        <v>10</v>
      </c>
      <c r="C12" s="29"/>
      <c r="D12" s="4" t="s">
        <v>52</v>
      </c>
    </row>
    <row r="13" spans="1:4" ht="15" customHeight="1" x14ac:dyDescent="0.25">
      <c r="A13" s="2" t="s">
        <v>53</v>
      </c>
      <c r="B13" s="5">
        <v>8.2500000000000004E-2</v>
      </c>
      <c r="C13" s="30"/>
      <c r="D13" s="4" t="s">
        <v>54</v>
      </c>
    </row>
    <row r="14" spans="1:4" ht="15" customHeight="1" x14ac:dyDescent="0.25">
      <c r="A14" s="2" t="s">
        <v>55</v>
      </c>
      <c r="B14" s="3">
        <v>4</v>
      </c>
      <c r="C14" s="29"/>
      <c r="D14" s="4" t="s">
        <v>56</v>
      </c>
    </row>
    <row r="15" spans="1:4" ht="15" customHeight="1" x14ac:dyDescent="0.25">
      <c r="A15" s="2" t="s">
        <v>57</v>
      </c>
      <c r="B15" s="3">
        <v>10</v>
      </c>
      <c r="C15" s="29"/>
      <c r="D15" s="4" t="s">
        <v>58</v>
      </c>
    </row>
    <row r="16" spans="1:4" ht="15" customHeight="1" x14ac:dyDescent="0.25">
      <c r="A16" s="2" t="s">
        <v>59</v>
      </c>
      <c r="B16" s="6">
        <v>35</v>
      </c>
      <c r="C16" s="31">
        <v>28</v>
      </c>
      <c r="D16" s="4" t="s">
        <v>60</v>
      </c>
    </row>
    <row r="17" spans="1:4" ht="15" customHeight="1" x14ac:dyDescent="0.25">
      <c r="A17" s="2" t="s">
        <v>61</v>
      </c>
      <c r="B17" s="7">
        <f>B14*B15*B16</f>
        <v>1400</v>
      </c>
      <c r="C17" s="31">
        <f>B14*B15*C16</f>
        <v>1120</v>
      </c>
      <c r="D17" s="4" t="s">
        <v>62</v>
      </c>
    </row>
    <row r="18" spans="1:4" ht="15" customHeight="1" x14ac:dyDescent="0.25">
      <c r="A18" s="2" t="s">
        <v>63</v>
      </c>
      <c r="B18" s="6">
        <v>2800</v>
      </c>
      <c r="C18" s="32">
        <v>1500</v>
      </c>
      <c r="D18" s="4" t="s">
        <v>64</v>
      </c>
    </row>
    <row r="19" spans="1:4" ht="15" customHeight="1" x14ac:dyDescent="0.25">
      <c r="A19" s="2" t="s">
        <v>65</v>
      </c>
      <c r="B19" s="6">
        <v>3000</v>
      </c>
      <c r="C19" s="32">
        <v>2500</v>
      </c>
      <c r="D19" s="4" t="s">
        <v>66</v>
      </c>
    </row>
    <row r="20" spans="1:4" ht="15" customHeight="1" x14ac:dyDescent="0.25">
      <c r="A20" s="2" t="s">
        <v>67</v>
      </c>
      <c r="B20" s="6">
        <v>3500</v>
      </c>
      <c r="C20" s="32">
        <v>1500</v>
      </c>
      <c r="D20" s="4" t="s">
        <v>68</v>
      </c>
    </row>
    <row r="21" spans="1:4" x14ac:dyDescent="0.25">
      <c r="A21" t="s">
        <v>69</v>
      </c>
      <c r="B21">
        <v>10</v>
      </c>
      <c r="D21" t="s">
        <v>70</v>
      </c>
    </row>
    <row r="22" spans="1:4" x14ac:dyDescent="0.25">
      <c r="A22" t="s">
        <v>71</v>
      </c>
      <c r="B22">
        <v>10</v>
      </c>
      <c r="D22" t="s">
        <v>72</v>
      </c>
    </row>
    <row r="23" spans="1:4" x14ac:dyDescent="0.25">
      <c r="A23" t="s">
        <v>73</v>
      </c>
      <c r="B23">
        <v>28</v>
      </c>
      <c r="D23" t="s">
        <v>74</v>
      </c>
    </row>
    <row r="24" spans="1:4" x14ac:dyDescent="0.25">
      <c r="A24" t="s">
        <v>75</v>
      </c>
      <c r="B24">
        <v>24</v>
      </c>
      <c r="D24" t="s">
        <v>76</v>
      </c>
    </row>
    <row r="25" spans="1:4" x14ac:dyDescent="0.25">
      <c r="A25" t="s">
        <v>77</v>
      </c>
      <c r="B25">
        <v>2</v>
      </c>
      <c r="D25" t="s">
        <v>78</v>
      </c>
    </row>
    <row r="26" spans="1:4" x14ac:dyDescent="0.25">
      <c r="A26" t="s">
        <v>79</v>
      </c>
      <c r="B26">
        <v>2</v>
      </c>
      <c r="D26" t="s">
        <v>80</v>
      </c>
    </row>
    <row r="27" spans="1:4" x14ac:dyDescent="0.25">
      <c r="A27" t="s">
        <v>81</v>
      </c>
      <c r="B27">
        <v>24</v>
      </c>
      <c r="D27" t="s">
        <v>82</v>
      </c>
    </row>
    <row r="28" spans="1:4" x14ac:dyDescent="0.25">
      <c r="A28" t="s">
        <v>83</v>
      </c>
      <c r="B28">
        <v>20</v>
      </c>
      <c r="D28" t="s">
        <v>84</v>
      </c>
    </row>
    <row r="29" spans="1:4" x14ac:dyDescent="0.25">
      <c r="A29" t="s">
        <v>85</v>
      </c>
      <c r="B29">
        <v>60</v>
      </c>
      <c r="D29" t="s">
        <v>86</v>
      </c>
    </row>
  </sheetData>
  <mergeCells count="1">
    <mergeCell ref="A1:D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1"/>
  <sheetViews>
    <sheetView zoomScaleNormal="100" workbookViewId="0">
      <selection activeCell="B11" sqref="B11"/>
    </sheetView>
  </sheetViews>
  <sheetFormatPr defaultColWidth="8.7109375" defaultRowHeight="15" x14ac:dyDescent="0.25"/>
  <cols>
    <col min="1" max="1" width="36.140625" customWidth="1"/>
    <col min="2" max="3" width="14" customWidth="1"/>
    <col min="4" max="4" width="70" customWidth="1"/>
  </cols>
  <sheetData>
    <row r="1" spans="1:4" ht="27.75" customHeight="1" x14ac:dyDescent="0.25">
      <c r="A1" s="37" t="s">
        <v>87</v>
      </c>
      <c r="B1" s="36"/>
      <c r="C1" s="36"/>
      <c r="D1" s="36"/>
    </row>
    <row r="2" spans="1:4" ht="21.75" customHeight="1" x14ac:dyDescent="0.25">
      <c r="A2" s="1" t="s">
        <v>29</v>
      </c>
      <c r="B2" s="1" t="s">
        <v>88</v>
      </c>
      <c r="C2" s="1" t="s">
        <v>31</v>
      </c>
      <c r="D2" s="1" t="s">
        <v>32</v>
      </c>
    </row>
    <row r="3" spans="1:4" ht="15" customHeight="1" x14ac:dyDescent="0.25">
      <c r="A3" s="2" t="s">
        <v>89</v>
      </c>
      <c r="B3" s="6">
        <v>550</v>
      </c>
      <c r="C3" s="8">
        <v>425</v>
      </c>
      <c r="D3" s="4" t="s">
        <v>90</v>
      </c>
    </row>
    <row r="4" spans="1:4" ht="15" customHeight="1" x14ac:dyDescent="0.25">
      <c r="A4" s="2" t="s">
        <v>91</v>
      </c>
      <c r="B4" s="6">
        <v>4000</v>
      </c>
      <c r="C4" s="8">
        <v>3500</v>
      </c>
      <c r="D4" s="4" t="s">
        <v>92</v>
      </c>
    </row>
    <row r="5" spans="1:4" ht="15" customHeight="1" x14ac:dyDescent="0.25">
      <c r="A5" s="2" t="s">
        <v>93</v>
      </c>
      <c r="B5" s="6">
        <v>1500</v>
      </c>
      <c r="C5" s="8">
        <v>1000</v>
      </c>
      <c r="D5" s="4" t="s">
        <v>94</v>
      </c>
    </row>
    <row r="6" spans="1:4" ht="15" customHeight="1" x14ac:dyDescent="0.25">
      <c r="A6" s="2" t="s">
        <v>95</v>
      </c>
      <c r="B6" s="6">
        <v>5000</v>
      </c>
      <c r="C6" s="8">
        <v>3500</v>
      </c>
      <c r="D6" s="4" t="s">
        <v>96</v>
      </c>
    </row>
    <row r="7" spans="1:4" ht="15" customHeight="1" x14ac:dyDescent="0.25">
      <c r="A7" s="2" t="s">
        <v>97</v>
      </c>
      <c r="B7" s="6">
        <v>150</v>
      </c>
      <c r="C7" s="8">
        <v>100</v>
      </c>
      <c r="D7" s="4" t="s">
        <v>98</v>
      </c>
    </row>
    <row r="8" spans="1:4" x14ac:dyDescent="0.25">
      <c r="A8" s="2" t="s">
        <v>99</v>
      </c>
      <c r="B8" s="6">
        <v>275</v>
      </c>
      <c r="C8" s="8">
        <v>200</v>
      </c>
      <c r="D8" t="s">
        <v>100</v>
      </c>
    </row>
    <row r="9" spans="1:4" x14ac:dyDescent="0.25">
      <c r="A9" t="s">
        <v>101</v>
      </c>
      <c r="B9">
        <v>650</v>
      </c>
      <c r="C9">
        <v>500</v>
      </c>
      <c r="D9" t="s">
        <v>102</v>
      </c>
    </row>
    <row r="10" spans="1:4" x14ac:dyDescent="0.25">
      <c r="A10" t="s">
        <v>103</v>
      </c>
      <c r="B10">
        <v>7500</v>
      </c>
      <c r="C10">
        <v>5000</v>
      </c>
      <c r="D10" t="s">
        <v>104</v>
      </c>
    </row>
    <row r="11" spans="1:4" x14ac:dyDescent="0.25">
      <c r="A11" t="s">
        <v>105</v>
      </c>
      <c r="B11">
        <v>450</v>
      </c>
      <c r="C11">
        <v>350</v>
      </c>
      <c r="D11" t="s">
        <v>106</v>
      </c>
    </row>
  </sheetData>
  <mergeCells count="1">
    <mergeCell ref="A1:D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5"/>
  <sheetViews>
    <sheetView zoomScaleNormal="100" workbookViewId="0">
      <selection activeCell="C6" sqref="C6"/>
    </sheetView>
  </sheetViews>
  <sheetFormatPr defaultColWidth="8.7109375" defaultRowHeight="15" x14ac:dyDescent="0.25"/>
  <cols>
    <col min="1" max="2" width="12" customWidth="1"/>
    <col min="3" max="4" width="14" customWidth="1"/>
    <col min="5" max="5" width="60" customWidth="1"/>
  </cols>
  <sheetData>
    <row r="1" spans="1:5" ht="27.75" customHeight="1" x14ac:dyDescent="0.25">
      <c r="A1" s="37" t="s">
        <v>107</v>
      </c>
      <c r="B1" s="36"/>
      <c r="C1" s="36"/>
      <c r="D1" s="36"/>
      <c r="E1" s="36"/>
    </row>
    <row r="2" spans="1:5" ht="21.75" customHeight="1" x14ac:dyDescent="0.25">
      <c r="A2" s="1" t="s">
        <v>108</v>
      </c>
      <c r="B2" s="1" t="s">
        <v>109</v>
      </c>
      <c r="C2" s="1" t="s">
        <v>110</v>
      </c>
      <c r="D2" s="1" t="s">
        <v>111</v>
      </c>
      <c r="E2" s="1" t="s">
        <v>11</v>
      </c>
    </row>
    <row r="3" spans="1:5" ht="15" customHeight="1" x14ac:dyDescent="0.25">
      <c r="A3" s="9">
        <v>1</v>
      </c>
      <c r="B3" s="9">
        <v>4</v>
      </c>
      <c r="C3" s="10">
        <v>2000</v>
      </c>
      <c r="D3" s="11">
        <v>1500</v>
      </c>
      <c r="E3" s="4" t="s">
        <v>112</v>
      </c>
    </row>
    <row r="4" spans="1:5" ht="15" customHeight="1" x14ac:dyDescent="0.25">
      <c r="A4" s="9">
        <v>5</v>
      </c>
      <c r="B4" s="9">
        <v>8</v>
      </c>
      <c r="C4" s="10">
        <v>3000</v>
      </c>
      <c r="D4" s="11">
        <v>2500</v>
      </c>
      <c r="E4" s="4"/>
    </row>
    <row r="5" spans="1:5" ht="15" customHeight="1" x14ac:dyDescent="0.25">
      <c r="A5" s="9">
        <v>9</v>
      </c>
      <c r="B5" s="9">
        <v>12</v>
      </c>
      <c r="C5" s="10">
        <v>5000</v>
      </c>
      <c r="D5" s="11">
        <v>3500</v>
      </c>
      <c r="E5" s="4"/>
    </row>
  </sheetData>
  <mergeCells count="1">
    <mergeCell ref="A1:E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3"/>
  <sheetViews>
    <sheetView zoomScaleNormal="100" workbookViewId="0">
      <selection activeCell="B12" sqref="B12"/>
    </sheetView>
  </sheetViews>
  <sheetFormatPr defaultColWidth="8.7109375" defaultRowHeight="15" x14ac:dyDescent="0.25"/>
  <cols>
    <col min="1" max="1" width="14" customWidth="1"/>
    <col min="2" max="2" width="10" customWidth="1"/>
    <col min="3" max="3" width="18" customWidth="1"/>
  </cols>
  <sheetData>
    <row r="1" spans="1:3" ht="27.75" customHeight="1" x14ac:dyDescent="0.25">
      <c r="A1" s="37" t="s">
        <v>113</v>
      </c>
      <c r="B1" s="36"/>
      <c r="C1" s="36"/>
    </row>
    <row r="2" spans="1:3" ht="21.75" customHeight="1" x14ac:dyDescent="0.25">
      <c r="A2" s="1" t="s">
        <v>114</v>
      </c>
      <c r="B2" s="1" t="s">
        <v>115</v>
      </c>
      <c r="C2" s="1" t="s">
        <v>116</v>
      </c>
    </row>
    <row r="3" spans="1:3" ht="15" customHeight="1" x14ac:dyDescent="0.25">
      <c r="A3" s="9">
        <v>2</v>
      </c>
      <c r="B3" s="9">
        <v>4</v>
      </c>
      <c r="C3" s="12">
        <f>B3*Settings!B17</f>
        <v>5600</v>
      </c>
    </row>
    <row r="4" spans="1:3" ht="15" customHeight="1" x14ac:dyDescent="0.25">
      <c r="A4" s="9">
        <v>3</v>
      </c>
      <c r="B4" s="9">
        <v>5</v>
      </c>
      <c r="C4" s="12">
        <f>B4*Settings!B17</f>
        <v>7000</v>
      </c>
    </row>
    <row r="5" spans="1:3" ht="15" customHeight="1" x14ac:dyDescent="0.25">
      <c r="A5" s="9">
        <v>4</v>
      </c>
      <c r="B5" s="9">
        <v>5</v>
      </c>
      <c r="C5" s="12">
        <f>B5*Settings!B17</f>
        <v>7000</v>
      </c>
    </row>
    <row r="6" spans="1:3" ht="15" customHeight="1" x14ac:dyDescent="0.25">
      <c r="A6" s="9">
        <v>5</v>
      </c>
      <c r="B6" s="9">
        <v>7</v>
      </c>
      <c r="C6" s="12">
        <f>B6*Settings!B17</f>
        <v>9800</v>
      </c>
    </row>
    <row r="7" spans="1:3" ht="15" customHeight="1" x14ac:dyDescent="0.25">
      <c r="A7" s="9">
        <v>6</v>
      </c>
      <c r="B7" s="9">
        <v>8</v>
      </c>
      <c r="C7" s="12">
        <f>B7*Settings!B17</f>
        <v>11200</v>
      </c>
    </row>
    <row r="8" spans="1:3" ht="15" customHeight="1" x14ac:dyDescent="0.25">
      <c r="A8" s="9">
        <v>7</v>
      </c>
      <c r="B8" s="9">
        <v>9</v>
      </c>
      <c r="C8" s="12">
        <f>B8*Settings!B17</f>
        <v>12600</v>
      </c>
    </row>
    <row r="9" spans="1:3" ht="15" customHeight="1" x14ac:dyDescent="0.25">
      <c r="A9" s="9">
        <v>8</v>
      </c>
      <c r="B9" s="9">
        <v>10</v>
      </c>
      <c r="C9" s="12">
        <f>B9*Settings!B17</f>
        <v>14000</v>
      </c>
    </row>
    <row r="10" spans="1:3" ht="15" customHeight="1" x14ac:dyDescent="0.25">
      <c r="A10" s="9">
        <v>9</v>
      </c>
      <c r="B10" s="9">
        <v>12</v>
      </c>
      <c r="C10" s="12">
        <f>B10*Settings!B17</f>
        <v>16800</v>
      </c>
    </row>
    <row r="11" spans="1:3" ht="15" customHeight="1" x14ac:dyDescent="0.25">
      <c r="A11" s="9">
        <v>10</v>
      </c>
      <c r="B11" s="9">
        <v>12</v>
      </c>
      <c r="C11" s="12">
        <f>B11*Settings!B17</f>
        <v>16800</v>
      </c>
    </row>
    <row r="13" spans="1:3" ht="34.5" customHeight="1" x14ac:dyDescent="0.25">
      <c r="A13" s="13" t="s">
        <v>26</v>
      </c>
      <c r="B13" s="38" t="s">
        <v>117</v>
      </c>
      <c r="C13" s="36"/>
    </row>
  </sheetData>
  <mergeCells count="2">
    <mergeCell ref="A1:C1"/>
    <mergeCell ref="B13:C13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25"/>
  <sheetViews>
    <sheetView zoomScaleNormal="100" workbookViewId="0">
      <selection activeCell="D16" sqref="D16"/>
    </sheetView>
  </sheetViews>
  <sheetFormatPr defaultColWidth="8.7109375" defaultRowHeight="15" x14ac:dyDescent="0.25"/>
  <cols>
    <col min="1" max="1" width="18" customWidth="1"/>
    <col min="2" max="10" width="11" customWidth="1"/>
    <col min="11" max="11" width="50" customWidth="1"/>
  </cols>
  <sheetData>
    <row r="1" spans="1:11" ht="27.75" customHeight="1" x14ac:dyDescent="0.25">
      <c r="A1" s="37" t="s">
        <v>0</v>
      </c>
      <c r="B1" s="36"/>
      <c r="C1" s="36"/>
      <c r="D1" s="36"/>
      <c r="E1" s="36"/>
      <c r="F1" s="36"/>
      <c r="G1" s="36"/>
      <c r="H1" s="36"/>
      <c r="I1" s="36"/>
      <c r="J1" s="36"/>
      <c r="K1" s="36"/>
    </row>
    <row r="2" spans="1:11" ht="21.75" customHeight="1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</row>
    <row r="3" spans="1:11" ht="15" customHeight="1" x14ac:dyDescent="0.25">
      <c r="A3" s="2" t="s">
        <v>12</v>
      </c>
      <c r="B3" s="33">
        <v>14780</v>
      </c>
      <c r="C3" s="33">
        <v>21420</v>
      </c>
      <c r="D3" s="33">
        <v>28786</v>
      </c>
      <c r="E3" s="33">
        <v>35101</v>
      </c>
      <c r="F3" s="33">
        <v>42181</v>
      </c>
      <c r="G3" s="33">
        <v>49261</v>
      </c>
      <c r="H3" s="33">
        <v>56341</v>
      </c>
      <c r="I3" s="33">
        <v>63421</v>
      </c>
      <c r="J3" s="33">
        <v>70501</v>
      </c>
      <c r="K3" s="4"/>
    </row>
    <row r="4" spans="1:11" ht="15" customHeight="1" x14ac:dyDescent="0.25">
      <c r="A4" s="2" t="s">
        <v>13</v>
      </c>
      <c r="B4" s="33">
        <v>15480</v>
      </c>
      <c r="C4" s="33">
        <v>18990</v>
      </c>
      <c r="D4" s="33">
        <v>25860</v>
      </c>
      <c r="E4" s="33">
        <v>33301</v>
      </c>
      <c r="F4" s="33">
        <v>35741</v>
      </c>
      <c r="G4" s="33">
        <v>37911</v>
      </c>
      <c r="H4" s="33">
        <v>40081</v>
      </c>
      <c r="I4" s="33">
        <v>42251</v>
      </c>
      <c r="J4" s="33">
        <v>44421</v>
      </c>
      <c r="K4" s="4"/>
    </row>
    <row r="5" spans="1:11" ht="15" customHeight="1" x14ac:dyDescent="0.25">
      <c r="A5" s="2" t="s">
        <v>14</v>
      </c>
      <c r="B5" s="33">
        <v>11280</v>
      </c>
      <c r="C5" s="33">
        <v>16920</v>
      </c>
      <c r="D5" s="33">
        <v>22560</v>
      </c>
      <c r="E5" s="33">
        <v>28201</v>
      </c>
      <c r="F5" s="33">
        <v>33841</v>
      </c>
      <c r="G5" s="33">
        <v>39481</v>
      </c>
      <c r="H5" s="33">
        <v>45121</v>
      </c>
      <c r="I5" s="33">
        <v>50761</v>
      </c>
      <c r="J5" s="33">
        <v>56401</v>
      </c>
      <c r="K5" s="4"/>
    </row>
    <row r="6" spans="1:11" ht="15" customHeight="1" x14ac:dyDescent="0.25">
      <c r="A6" s="2" t="s">
        <v>15</v>
      </c>
      <c r="B6" s="33">
        <v>16345</v>
      </c>
      <c r="C6" s="33">
        <v>20555</v>
      </c>
      <c r="D6" s="33">
        <v>24765</v>
      </c>
      <c r="E6" s="33">
        <v>28975</v>
      </c>
      <c r="F6" s="33">
        <v>33185</v>
      </c>
      <c r="G6" s="33">
        <v>37395</v>
      </c>
      <c r="H6" s="33">
        <v>41605</v>
      </c>
      <c r="I6" s="33">
        <v>45815</v>
      </c>
      <c r="J6" s="33">
        <v>50025</v>
      </c>
      <c r="K6" s="4"/>
    </row>
    <row r="7" spans="1:11" ht="15" customHeight="1" x14ac:dyDescent="0.25">
      <c r="A7" s="2" t="s">
        <v>16</v>
      </c>
      <c r="B7" s="33">
        <v>16645</v>
      </c>
      <c r="C7" s="33">
        <v>21555</v>
      </c>
      <c r="D7" s="33">
        <v>24765</v>
      </c>
      <c r="E7" s="33">
        <v>28975</v>
      </c>
      <c r="F7" s="33">
        <v>33185</v>
      </c>
      <c r="G7" s="33">
        <v>37395</v>
      </c>
      <c r="H7" s="33">
        <v>41605</v>
      </c>
      <c r="I7" s="33">
        <v>45815</v>
      </c>
      <c r="J7" s="33">
        <v>50025</v>
      </c>
      <c r="K7" s="4"/>
    </row>
    <row r="8" spans="1:11" s="34" customFormat="1" ht="15" customHeight="1" x14ac:dyDescent="0.25">
      <c r="A8" s="2" t="s">
        <v>17</v>
      </c>
      <c r="B8" s="33"/>
      <c r="C8" s="33"/>
      <c r="D8" s="33"/>
      <c r="E8" s="33"/>
      <c r="F8" s="33"/>
      <c r="G8" s="33"/>
      <c r="H8" s="33"/>
      <c r="I8" s="33"/>
      <c r="J8" s="33"/>
      <c r="K8" s="4"/>
    </row>
    <row r="9" spans="1:11" s="34" customFormat="1" ht="15" customHeight="1" x14ac:dyDescent="0.25">
      <c r="A9" s="2" t="s">
        <v>18</v>
      </c>
      <c r="B9" s="33"/>
      <c r="C9" s="33"/>
      <c r="D9" s="33"/>
      <c r="E9" s="33"/>
      <c r="F9" s="33"/>
      <c r="G9" s="33"/>
      <c r="H9" s="33"/>
      <c r="I9" s="33"/>
      <c r="J9" s="33"/>
      <c r="K9" s="4"/>
    </row>
    <row r="10" spans="1:11" ht="15" customHeight="1" x14ac:dyDescent="0.25">
      <c r="A10" s="2" t="s">
        <v>19</v>
      </c>
      <c r="B10" s="6"/>
      <c r="C10" s="6"/>
      <c r="D10" s="6"/>
      <c r="E10" s="6"/>
      <c r="F10" s="6"/>
      <c r="G10" s="6"/>
      <c r="H10" s="6"/>
      <c r="I10" s="6"/>
      <c r="J10" s="6"/>
      <c r="K10" s="4"/>
    </row>
    <row r="11" spans="1:11" ht="15" customHeight="1" x14ac:dyDescent="0.25">
      <c r="A11" s="15" t="s">
        <v>20</v>
      </c>
      <c r="B11" s="8"/>
      <c r="C11" s="8"/>
      <c r="D11" s="8"/>
      <c r="E11" s="8"/>
      <c r="F11" s="8"/>
      <c r="G11" s="8"/>
      <c r="H11" s="8"/>
      <c r="I11" s="8"/>
      <c r="J11" s="8"/>
      <c r="K11" s="16"/>
    </row>
    <row r="12" spans="1:11" ht="15" customHeight="1" x14ac:dyDescent="0.25">
      <c r="A12" s="17"/>
      <c r="B12" s="17"/>
      <c r="C12" s="17"/>
      <c r="D12" s="17"/>
      <c r="E12" s="17"/>
      <c r="F12" s="17"/>
      <c r="G12" s="17"/>
      <c r="H12" s="17"/>
      <c r="I12" s="17"/>
      <c r="J12" s="17"/>
      <c r="K12" s="17"/>
    </row>
    <row r="13" spans="1:11" ht="15" customHeight="1" x14ac:dyDescent="0.25">
      <c r="A13" t="s">
        <v>21</v>
      </c>
      <c r="B13" s="34"/>
      <c r="K13" t="s">
        <v>22</v>
      </c>
    </row>
    <row r="14" spans="1:11" x14ac:dyDescent="0.25">
      <c r="A14" t="s">
        <v>23</v>
      </c>
      <c r="K14" t="s">
        <v>22</v>
      </c>
    </row>
    <row r="15" spans="1:11" x14ac:dyDescent="0.25">
      <c r="A15" t="s">
        <v>24</v>
      </c>
      <c r="K15" t="s">
        <v>22</v>
      </c>
    </row>
    <row r="16" spans="1:11" x14ac:dyDescent="0.25">
      <c r="A16" t="s">
        <v>25</v>
      </c>
      <c r="K16" t="s">
        <v>22</v>
      </c>
    </row>
    <row r="17" spans="1:11" x14ac:dyDescent="0.25">
      <c r="A17" s="13" t="s">
        <v>26</v>
      </c>
      <c r="B17" s="35" t="s">
        <v>27</v>
      </c>
      <c r="C17" s="36"/>
      <c r="D17" s="36"/>
      <c r="E17" s="36"/>
      <c r="F17" s="36"/>
      <c r="G17" s="36"/>
      <c r="H17" s="36"/>
      <c r="I17" s="36"/>
      <c r="J17" s="36"/>
      <c r="K17" s="36"/>
    </row>
    <row r="21" spans="1:11" x14ac:dyDescent="0.25">
      <c r="B21" s="33"/>
      <c r="C21" s="33"/>
      <c r="D21" s="33"/>
      <c r="E21" s="33"/>
      <c r="F21" s="33"/>
      <c r="G21" s="33"/>
      <c r="H21" s="33"/>
      <c r="I21" s="33"/>
      <c r="J21" s="33"/>
    </row>
    <row r="22" spans="1:11" x14ac:dyDescent="0.25">
      <c r="B22" s="33"/>
      <c r="C22" s="33"/>
      <c r="D22" s="33"/>
      <c r="E22" s="33"/>
      <c r="F22" s="33"/>
      <c r="G22" s="33"/>
      <c r="H22" s="33"/>
      <c r="I22" s="33"/>
      <c r="J22" s="33"/>
    </row>
    <row r="23" spans="1:11" x14ac:dyDescent="0.25">
      <c r="B23" s="33"/>
      <c r="C23" s="33"/>
      <c r="D23" s="33"/>
      <c r="E23" s="33"/>
      <c r="F23" s="33"/>
      <c r="G23" s="33"/>
      <c r="H23" s="33"/>
      <c r="I23" s="33"/>
      <c r="J23" s="33"/>
    </row>
    <row r="24" spans="1:11" x14ac:dyDescent="0.25">
      <c r="B24" s="33"/>
      <c r="C24" s="33"/>
      <c r="D24" s="33"/>
      <c r="E24" s="33"/>
      <c r="F24" s="33"/>
      <c r="G24" s="33"/>
      <c r="H24" s="33"/>
      <c r="I24" s="33"/>
      <c r="J24" s="33"/>
    </row>
    <row r="25" spans="1:11" x14ac:dyDescent="0.25">
      <c r="B25" s="33"/>
      <c r="C25" s="33"/>
      <c r="D25" s="33"/>
      <c r="E25" s="33"/>
      <c r="F25" s="33"/>
      <c r="G25" s="33"/>
      <c r="H25" s="33"/>
      <c r="I25" s="33"/>
      <c r="J25" s="33"/>
    </row>
  </sheetData>
  <mergeCells count="2">
    <mergeCell ref="B17:K17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7"/>
  <sheetViews>
    <sheetView zoomScaleNormal="100" workbookViewId="0">
      <selection activeCell="C8" sqref="C8"/>
    </sheetView>
  </sheetViews>
  <sheetFormatPr defaultColWidth="8.7109375" defaultRowHeight="15" x14ac:dyDescent="0.25"/>
  <cols>
    <col min="1" max="1" width="18" customWidth="1"/>
    <col min="2" max="3" width="14" customWidth="1"/>
    <col min="4" max="4" width="50" customWidth="1"/>
  </cols>
  <sheetData>
    <row r="1" spans="1:4" ht="27.75" customHeight="1" x14ac:dyDescent="0.25">
      <c r="A1" s="37" t="s">
        <v>118</v>
      </c>
      <c r="B1" s="36"/>
      <c r="C1" s="36"/>
      <c r="D1" s="36"/>
    </row>
    <row r="2" spans="1:4" ht="21.75" customHeight="1" x14ac:dyDescent="0.25">
      <c r="A2" s="1" t="s">
        <v>1</v>
      </c>
      <c r="B2" s="1" t="s">
        <v>110</v>
      </c>
      <c r="C2" s="1" t="s">
        <v>111</v>
      </c>
      <c r="D2" s="1" t="s">
        <v>11</v>
      </c>
    </row>
    <row r="3" spans="1:4" ht="15" customHeight="1" x14ac:dyDescent="0.25">
      <c r="A3" s="2" t="s">
        <v>14</v>
      </c>
      <c r="B3" s="6">
        <v>27548</v>
      </c>
      <c r="C3" s="8">
        <v>26548</v>
      </c>
      <c r="D3" s="4"/>
    </row>
    <row r="4" spans="1:4" ht="15" customHeight="1" x14ac:dyDescent="0.25">
      <c r="A4" s="2" t="s">
        <v>119</v>
      </c>
      <c r="B4" s="6">
        <v>26000</v>
      </c>
      <c r="C4" s="8">
        <v>25000</v>
      </c>
      <c r="D4" s="4"/>
    </row>
    <row r="5" spans="1:4" ht="15" customHeight="1" x14ac:dyDescent="0.25">
      <c r="A5" s="2" t="s">
        <v>120</v>
      </c>
      <c r="B5" s="6">
        <v>34548</v>
      </c>
      <c r="C5" s="8">
        <v>33548</v>
      </c>
      <c r="D5" s="4"/>
    </row>
    <row r="6" spans="1:4" ht="15" customHeight="1" x14ac:dyDescent="0.25">
      <c r="A6" s="2" t="s">
        <v>13</v>
      </c>
      <c r="B6" s="6">
        <v>27000</v>
      </c>
      <c r="C6" s="8">
        <v>25000</v>
      </c>
      <c r="D6" s="4"/>
    </row>
    <row r="7" spans="1:4" ht="15" customHeight="1" x14ac:dyDescent="0.25">
      <c r="A7" s="2" t="s">
        <v>121</v>
      </c>
      <c r="B7" s="6">
        <v>25000</v>
      </c>
      <c r="C7" s="8">
        <v>22500</v>
      </c>
      <c r="D7" s="4" t="s">
        <v>122</v>
      </c>
    </row>
  </sheetData>
  <mergeCells count="1">
    <mergeCell ref="A1:D1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5"/>
  <sheetViews>
    <sheetView zoomScaleNormal="100" workbookViewId="0">
      <selection activeCell="B4" sqref="B4"/>
    </sheetView>
  </sheetViews>
  <sheetFormatPr defaultColWidth="8.7109375" defaultRowHeight="15" x14ac:dyDescent="0.25"/>
  <cols>
    <col min="1" max="1" width="12" customWidth="1"/>
    <col min="2" max="3" width="14" customWidth="1"/>
    <col min="4" max="4" width="60" customWidth="1"/>
  </cols>
  <sheetData>
    <row r="1" spans="1:4" ht="27.75" customHeight="1" x14ac:dyDescent="0.25">
      <c r="A1" s="37" t="s">
        <v>123</v>
      </c>
      <c r="B1" s="36"/>
      <c r="C1" s="36"/>
      <c r="D1" s="36"/>
    </row>
    <row r="2" spans="1:4" ht="21.75" customHeight="1" x14ac:dyDescent="0.25">
      <c r="A2" s="1" t="s">
        <v>124</v>
      </c>
      <c r="B2" s="1" t="s">
        <v>110</v>
      </c>
      <c r="C2" s="1" t="s">
        <v>111</v>
      </c>
      <c r="D2" s="1" t="s">
        <v>11</v>
      </c>
    </row>
    <row r="3" spans="1:4" ht="15" customHeight="1" x14ac:dyDescent="0.25">
      <c r="A3" s="19" t="s">
        <v>125</v>
      </c>
      <c r="B3" s="6">
        <v>11000</v>
      </c>
      <c r="C3" s="8">
        <v>3500</v>
      </c>
      <c r="D3" s="4" t="s">
        <v>126</v>
      </c>
    </row>
    <row r="4" spans="1:4" ht="15" customHeight="1" x14ac:dyDescent="0.25">
      <c r="A4" s="19" t="s">
        <v>127</v>
      </c>
      <c r="B4" s="6">
        <v>9000</v>
      </c>
      <c r="C4" s="8">
        <v>3500</v>
      </c>
      <c r="D4" s="4" t="s">
        <v>128</v>
      </c>
    </row>
    <row r="5" spans="1:4" ht="15" customHeight="1" x14ac:dyDescent="0.25"/>
  </sheetData>
  <mergeCells count="1">
    <mergeCell ref="A1:D1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5"/>
  <sheetViews>
    <sheetView zoomScaleNormal="100" workbookViewId="0">
      <selection sqref="A1:C1"/>
    </sheetView>
  </sheetViews>
  <sheetFormatPr defaultColWidth="8.7109375" defaultRowHeight="15" x14ac:dyDescent="0.25"/>
  <cols>
    <col min="1" max="1" width="22" customWidth="1"/>
    <col min="2" max="2" width="18" customWidth="1"/>
    <col min="3" max="3" width="30" customWidth="1"/>
  </cols>
  <sheetData>
    <row r="1" spans="1:3" ht="27.75" customHeight="1" x14ac:dyDescent="0.25">
      <c r="A1" s="37" t="s">
        <v>129</v>
      </c>
      <c r="B1" s="36"/>
      <c r="C1" s="36"/>
    </row>
    <row r="2" spans="1:3" ht="21.75" customHeight="1" x14ac:dyDescent="0.25">
      <c r="A2" s="1" t="s">
        <v>130</v>
      </c>
      <c r="B2" s="1" t="s">
        <v>131</v>
      </c>
      <c r="C2" s="1" t="s">
        <v>132</v>
      </c>
    </row>
    <row r="3" spans="1:3" ht="15" customHeight="1" x14ac:dyDescent="0.25">
      <c r="A3" s="20" t="s">
        <v>133</v>
      </c>
      <c r="B3" s="20" t="s">
        <v>134</v>
      </c>
      <c r="C3" s="20" t="s">
        <v>135</v>
      </c>
    </row>
    <row r="4" spans="1:3" ht="15" customHeight="1" x14ac:dyDescent="0.25">
      <c r="A4" s="20" t="s">
        <v>136</v>
      </c>
      <c r="B4" s="20" t="s">
        <v>137</v>
      </c>
      <c r="C4" s="20" t="s">
        <v>138</v>
      </c>
    </row>
    <row r="5" spans="1:3" ht="15" customHeight="1" x14ac:dyDescent="0.25">
      <c r="A5" s="20" t="s">
        <v>139</v>
      </c>
      <c r="B5" s="20" t="s">
        <v>140</v>
      </c>
      <c r="C5" s="20" t="s">
        <v>141</v>
      </c>
    </row>
  </sheetData>
  <mergeCells count="1">
    <mergeCell ref="A1:C1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16"/>
  <sheetViews>
    <sheetView zoomScaleNormal="100" workbookViewId="0">
      <selection activeCell="A16" sqref="A16"/>
    </sheetView>
  </sheetViews>
  <sheetFormatPr defaultColWidth="8.7109375" defaultRowHeight="15" x14ac:dyDescent="0.25"/>
  <cols>
    <col min="1" max="1" width="38" customWidth="1"/>
    <col min="2" max="2" width="22" customWidth="1"/>
    <col min="3" max="3" width="13" customWidth="1"/>
    <col min="4" max="4" width="70" customWidth="1"/>
  </cols>
  <sheetData>
    <row r="1" spans="1:4" ht="27.75" customHeight="1" x14ac:dyDescent="0.25">
      <c r="A1" s="37" t="s">
        <v>142</v>
      </c>
      <c r="B1" s="36"/>
      <c r="C1" s="36"/>
      <c r="D1" s="36"/>
    </row>
    <row r="2" spans="1:4" ht="21.75" customHeight="1" x14ac:dyDescent="0.25">
      <c r="A2" s="1" t="s">
        <v>143</v>
      </c>
      <c r="B2" s="1" t="s">
        <v>144</v>
      </c>
      <c r="C2" s="1" t="s">
        <v>145</v>
      </c>
      <c r="D2" s="1" t="s">
        <v>11</v>
      </c>
    </row>
    <row r="3" spans="1:4" ht="26.25" customHeight="1" x14ac:dyDescent="0.25">
      <c r="A3" s="2" t="s">
        <v>146</v>
      </c>
      <c r="B3" s="19" t="s">
        <v>147</v>
      </c>
      <c r="C3" s="19" t="s">
        <v>148</v>
      </c>
      <c r="D3" s="4" t="s">
        <v>149</v>
      </c>
    </row>
    <row r="4" spans="1:4" ht="15" customHeight="1" x14ac:dyDescent="0.25">
      <c r="A4" s="2" t="s">
        <v>150</v>
      </c>
      <c r="B4" s="19" t="s">
        <v>148</v>
      </c>
      <c r="C4" s="19" t="s">
        <v>148</v>
      </c>
      <c r="D4" s="4"/>
    </row>
    <row r="5" spans="1:4" ht="15" customHeight="1" x14ac:dyDescent="0.25">
      <c r="A5" s="2" t="s">
        <v>151</v>
      </c>
      <c r="B5" s="19" t="s">
        <v>152</v>
      </c>
      <c r="C5" s="19" t="s">
        <v>148</v>
      </c>
      <c r="D5" s="4" t="s">
        <v>153</v>
      </c>
    </row>
    <row r="6" spans="1:4" ht="15" customHeight="1" x14ac:dyDescent="0.25">
      <c r="A6" s="2" t="s">
        <v>154</v>
      </c>
      <c r="B6" s="19" t="s">
        <v>148</v>
      </c>
      <c r="C6" s="19" t="s">
        <v>148</v>
      </c>
      <c r="D6" s="4"/>
    </row>
    <row r="7" spans="1:4" ht="15" customHeight="1" x14ac:dyDescent="0.25">
      <c r="A7" s="2" t="s">
        <v>155</v>
      </c>
      <c r="B7" s="19" t="s">
        <v>152</v>
      </c>
      <c r="C7" s="19" t="s">
        <v>148</v>
      </c>
      <c r="D7" s="4" t="s">
        <v>156</v>
      </c>
    </row>
    <row r="8" spans="1:4" ht="15" customHeight="1" x14ac:dyDescent="0.25">
      <c r="A8" s="2" t="s">
        <v>157</v>
      </c>
      <c r="B8" s="19" t="s">
        <v>148</v>
      </c>
      <c r="C8" s="19" t="s">
        <v>148</v>
      </c>
      <c r="D8" s="4"/>
    </row>
    <row r="9" spans="1:4" ht="15" customHeight="1" x14ac:dyDescent="0.25">
      <c r="A9" s="2" t="s">
        <v>158</v>
      </c>
      <c r="B9" s="19" t="s">
        <v>152</v>
      </c>
      <c r="C9" s="19" t="s">
        <v>148</v>
      </c>
      <c r="D9" s="4" t="s">
        <v>159</v>
      </c>
    </row>
    <row r="10" spans="1:4" ht="15" customHeight="1" x14ac:dyDescent="0.25">
      <c r="A10" s="2" t="s">
        <v>160</v>
      </c>
      <c r="B10" s="19" t="s">
        <v>152</v>
      </c>
      <c r="C10" s="19" t="s">
        <v>148</v>
      </c>
      <c r="D10" s="4" t="s">
        <v>161</v>
      </c>
    </row>
    <row r="11" spans="1:4" ht="15" customHeight="1" x14ac:dyDescent="0.25">
      <c r="A11" s="2" t="s">
        <v>162</v>
      </c>
      <c r="B11" s="19" t="s">
        <v>152</v>
      </c>
      <c r="C11" s="19" t="s">
        <v>148</v>
      </c>
      <c r="D11" s="4" t="s">
        <v>159</v>
      </c>
    </row>
    <row r="12" spans="1:4" ht="15" customHeight="1" x14ac:dyDescent="0.25">
      <c r="A12" s="2" t="s">
        <v>163</v>
      </c>
      <c r="B12" s="19" t="s">
        <v>148</v>
      </c>
      <c r="C12" s="19" t="s">
        <v>152</v>
      </c>
      <c r="D12" s="4" t="s">
        <v>164</v>
      </c>
    </row>
    <row r="13" spans="1:4" ht="15" customHeight="1" x14ac:dyDescent="0.25">
      <c r="A13" s="2" t="s">
        <v>165</v>
      </c>
      <c r="B13" s="19" t="s">
        <v>152</v>
      </c>
      <c r="C13" s="19" t="s">
        <v>152</v>
      </c>
      <c r="D13" s="4" t="s">
        <v>166</v>
      </c>
    </row>
    <row r="14" spans="1:4" ht="15" customHeight="1" x14ac:dyDescent="0.25">
      <c r="A14" s="2" t="s">
        <v>167</v>
      </c>
      <c r="B14" s="19" t="s">
        <v>152</v>
      </c>
      <c r="C14" s="19" t="s">
        <v>152</v>
      </c>
      <c r="D14" s="4" t="s">
        <v>166</v>
      </c>
    </row>
    <row r="15" spans="1:4" ht="15" customHeight="1" x14ac:dyDescent="0.25">
      <c r="A15" s="2" t="s">
        <v>168</v>
      </c>
      <c r="B15" s="19" t="s">
        <v>152</v>
      </c>
      <c r="C15" s="19" t="s">
        <v>152</v>
      </c>
      <c r="D15" s="4" t="s">
        <v>169</v>
      </c>
    </row>
    <row r="16" spans="1:4" x14ac:dyDescent="0.25">
      <c r="A16" t="s">
        <v>170</v>
      </c>
      <c r="B16" t="s">
        <v>152</v>
      </c>
      <c r="C16" t="s">
        <v>148</v>
      </c>
      <c r="D16" t="s">
        <v>171</v>
      </c>
    </row>
  </sheetData>
  <sheetProtection algorithmName="SHA-512" hashValue="mTYOAb74kjrSDXNbJJT3BWhhNus/LfhMmdP+9OCbjark+iP/LAxHuyEoEJTurHB9VEYmWvb98HQ22HlptjBxnw==" saltValue="XxXlORPKIlBJnS7zdUc5ug==" spinCount="100000" sheet="1" objects="1" scenarios="1"/>
  <mergeCells count="1">
    <mergeCell ref="A1:D1"/>
  </mergeCell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64"/>
  <sheetViews>
    <sheetView tabSelected="1" zoomScaleNormal="100" workbookViewId="0">
      <selection activeCell="B8" sqref="B8"/>
    </sheetView>
  </sheetViews>
  <sheetFormatPr defaultColWidth="8.7109375" defaultRowHeight="15" x14ac:dyDescent="0.25"/>
  <cols>
    <col min="1" max="1" width="40" customWidth="1"/>
    <col min="2" max="3" width="16" customWidth="1"/>
    <col min="4" max="4" width="14" customWidth="1"/>
    <col min="5" max="5" width="50" customWidth="1"/>
  </cols>
  <sheetData>
    <row r="1" spans="1:5" ht="27.75" customHeight="1" x14ac:dyDescent="0.25">
      <c r="A1" s="37" t="s">
        <v>172</v>
      </c>
      <c r="B1" s="36"/>
      <c r="C1" s="36"/>
      <c r="D1" s="36"/>
      <c r="E1" s="36"/>
    </row>
    <row r="2" spans="1:5" ht="15" customHeight="1" x14ac:dyDescent="0.25">
      <c r="A2" s="35" t="s">
        <v>173</v>
      </c>
      <c r="B2" s="36"/>
      <c r="C2" s="36"/>
      <c r="D2" s="36"/>
      <c r="E2" s="36"/>
    </row>
    <row r="4" spans="1:5" ht="21.75" customHeight="1" x14ac:dyDescent="0.25">
      <c r="A4" s="39" t="s">
        <v>174</v>
      </c>
      <c r="B4" s="36"/>
      <c r="C4" s="36"/>
      <c r="D4" s="36"/>
      <c r="E4" s="36"/>
    </row>
    <row r="5" spans="1:5" ht="21.75" customHeight="1" x14ac:dyDescent="0.25">
      <c r="A5" s="1" t="s">
        <v>29</v>
      </c>
      <c r="B5" s="1" t="s">
        <v>30</v>
      </c>
      <c r="C5" s="1"/>
      <c r="D5" s="1"/>
      <c r="E5" s="1" t="s">
        <v>32</v>
      </c>
    </row>
    <row r="6" spans="1:5" ht="15" customHeight="1" x14ac:dyDescent="0.25">
      <c r="A6" s="2" t="s">
        <v>175</v>
      </c>
      <c r="B6" s="5">
        <v>0.5</v>
      </c>
      <c r="E6" s="18" t="s">
        <v>176</v>
      </c>
    </row>
    <row r="7" spans="1:5" ht="15" customHeight="1" x14ac:dyDescent="0.25">
      <c r="A7" s="2" t="s">
        <v>177</v>
      </c>
      <c r="B7" s="5">
        <v>0.3</v>
      </c>
      <c r="E7" s="18" t="s">
        <v>178</v>
      </c>
    </row>
    <row r="9" spans="1:5" ht="21.75" customHeight="1" x14ac:dyDescent="0.25">
      <c r="A9" s="39" t="s">
        <v>179</v>
      </c>
      <c r="B9" s="36"/>
      <c r="C9" s="36"/>
      <c r="D9" s="36"/>
      <c r="E9" s="36"/>
    </row>
    <row r="10" spans="1:5" ht="21.75" customHeight="1" x14ac:dyDescent="0.25">
      <c r="A10" s="1" t="s">
        <v>180</v>
      </c>
      <c r="B10" s="1" t="s">
        <v>30</v>
      </c>
      <c r="C10" s="1"/>
      <c r="D10" s="1"/>
      <c r="E10" s="1" t="s">
        <v>32</v>
      </c>
    </row>
    <row r="11" spans="1:5" ht="15" customHeight="1" x14ac:dyDescent="0.25">
      <c r="A11" s="2" t="s">
        <v>124</v>
      </c>
      <c r="B11" s="3" t="s">
        <v>125</v>
      </c>
      <c r="E11" s="14" t="s">
        <v>181</v>
      </c>
    </row>
    <row r="12" spans="1:5" ht="15" customHeight="1" x14ac:dyDescent="0.25">
      <c r="A12" s="2" t="s">
        <v>114</v>
      </c>
      <c r="B12" s="3">
        <v>4</v>
      </c>
      <c r="E12" s="14" t="s">
        <v>182</v>
      </c>
    </row>
    <row r="13" spans="1:5" ht="15" customHeight="1" x14ac:dyDescent="0.25">
      <c r="A13" s="2" t="s">
        <v>183</v>
      </c>
      <c r="B13" s="3" t="s">
        <v>184</v>
      </c>
      <c r="E13" s="14" t="s">
        <v>185</v>
      </c>
    </row>
    <row r="14" spans="1:5" ht="15" customHeight="1" x14ac:dyDescent="0.25">
      <c r="A14" s="2" t="s">
        <v>186</v>
      </c>
      <c r="B14" s="3" t="s">
        <v>187</v>
      </c>
      <c r="E14" s="14" t="s">
        <v>188</v>
      </c>
    </row>
    <row r="15" spans="1:5" ht="15" customHeight="1" x14ac:dyDescent="0.25">
      <c r="A15" s="2" t="s">
        <v>189</v>
      </c>
      <c r="B15" s="3" t="s">
        <v>152</v>
      </c>
      <c r="E15" s="14" t="s">
        <v>190</v>
      </c>
    </row>
    <row r="16" spans="1:5" ht="15" customHeight="1" x14ac:dyDescent="0.25">
      <c r="A16" s="2" t="s">
        <v>1</v>
      </c>
      <c r="B16" s="3"/>
      <c r="E16" s="14" t="s">
        <v>191</v>
      </c>
    </row>
    <row r="17" spans="1:5" ht="15" customHeight="1" x14ac:dyDescent="0.25">
      <c r="A17" s="2" t="s">
        <v>192</v>
      </c>
      <c r="B17" s="3" t="s">
        <v>152</v>
      </c>
      <c r="E17" s="14" t="s">
        <v>190</v>
      </c>
    </row>
    <row r="18" spans="1:5" ht="15" customHeight="1" x14ac:dyDescent="0.25">
      <c r="A18" s="2" t="s">
        <v>193</v>
      </c>
      <c r="B18" s="3"/>
      <c r="E18" s="14" t="s">
        <v>194</v>
      </c>
    </row>
    <row r="19" spans="1:5" ht="15" customHeight="1" x14ac:dyDescent="0.25">
      <c r="A19" s="2" t="s">
        <v>195</v>
      </c>
      <c r="B19" s="3" t="s">
        <v>196</v>
      </c>
      <c r="E19" s="14" t="s">
        <v>197</v>
      </c>
    </row>
    <row r="20" spans="1:5" ht="15" customHeight="1" x14ac:dyDescent="0.25">
      <c r="A20" s="2" t="s">
        <v>198</v>
      </c>
      <c r="B20" s="5">
        <v>8.2500000000000004E-2</v>
      </c>
      <c r="E20" s="14" t="s">
        <v>199</v>
      </c>
    </row>
    <row r="22" spans="1:5" ht="21.75" customHeight="1" x14ac:dyDescent="0.25">
      <c r="A22" s="39" t="s">
        <v>200</v>
      </c>
      <c r="B22" s="36"/>
      <c r="C22" s="36"/>
      <c r="D22" s="36"/>
      <c r="E22" s="36"/>
    </row>
    <row r="23" spans="1:5" ht="21.75" customHeight="1" x14ac:dyDescent="0.25">
      <c r="A23" s="1" t="s">
        <v>180</v>
      </c>
      <c r="B23" s="1" t="s">
        <v>30</v>
      </c>
      <c r="C23" s="1"/>
      <c r="D23" s="1"/>
      <c r="E23" s="1" t="s">
        <v>201</v>
      </c>
    </row>
    <row r="24" spans="1:5" ht="15" customHeight="1" x14ac:dyDescent="0.25">
      <c r="A24" s="2" t="s">
        <v>202</v>
      </c>
      <c r="B24" s="21">
        <f>IF(B11="APEC", B6, B7)</f>
        <v>0.5</v>
      </c>
    </row>
    <row r="25" spans="1:5" ht="15" customHeight="1" x14ac:dyDescent="0.25">
      <c r="A25" s="2" t="s">
        <v>203</v>
      </c>
      <c r="B25" s="22">
        <f>IF(B13="Stacked", 2*Settings!B5 + (B12/2 - 1)*Settings!B7, IF(B13="In-line", 2*Settings!B5 + (B12-1)*Settings!B8, 2*Settings!B5 + (B12-1)*Settings!B6))</f>
        <v>104</v>
      </c>
    </row>
    <row r="26" spans="1:5" ht="15" customHeight="1" x14ac:dyDescent="0.25">
      <c r="A26" s="2" t="s">
        <v>204</v>
      </c>
      <c r="B26" s="22">
        <f>IF(B13="Stacked", Settings!B10, IF(B13="In-line", Settings!B11, Settings!B9))</f>
        <v>24</v>
      </c>
    </row>
    <row r="27" spans="1:5" ht="15" customHeight="1" x14ac:dyDescent="0.25">
      <c r="A27" s="2" t="s">
        <v>205</v>
      </c>
      <c r="B27" s="22">
        <f>IF(AND(B13="Dive-in", B14="Double"), B12*2, B12)</f>
        <v>4</v>
      </c>
    </row>
    <row r="28" spans="1:5" ht="15" customHeight="1" x14ac:dyDescent="0.25">
      <c r="A28" s="2" t="s">
        <v>206</v>
      </c>
      <c r="B28" s="22">
        <f>CEILING((2*B25 + 2*B26)/Settings!B12, 1)</f>
        <v>26</v>
      </c>
    </row>
    <row r="29" spans="1:5" ht="15" customHeight="1" x14ac:dyDescent="0.25">
      <c r="A29" s="2" t="s">
        <v>207</v>
      </c>
      <c r="B29" s="22">
        <f>VLOOKUP(B12, Labor_Days!A3:B11, 2, FALSE())</f>
        <v>5</v>
      </c>
    </row>
    <row r="32" spans="1:5" ht="21.75" customHeight="1" x14ac:dyDescent="0.25">
      <c r="A32" s="39" t="s">
        <v>208</v>
      </c>
      <c r="B32" s="36"/>
      <c r="C32" s="36"/>
      <c r="D32" s="36"/>
      <c r="E32" s="36"/>
    </row>
    <row r="33" spans="1:5" ht="21.75" customHeight="1" x14ac:dyDescent="0.25">
      <c r="A33" s="1" t="s">
        <v>209</v>
      </c>
      <c r="B33" s="1" t="s">
        <v>88</v>
      </c>
      <c r="C33" s="1" t="s">
        <v>210</v>
      </c>
      <c r="D33" s="1" t="s">
        <v>211</v>
      </c>
      <c r="E33" s="1" t="s">
        <v>32</v>
      </c>
    </row>
    <row r="34" spans="1:5" ht="15" customHeight="1" x14ac:dyDescent="0.25">
      <c r="A34" s="2" t="s">
        <v>146</v>
      </c>
      <c r="B34" s="23">
        <f>IF(B15="Yes", 0, B28*Material_Rates!B3)</f>
        <v>14300</v>
      </c>
      <c r="C34" s="23">
        <f>IF(B15="Yes", 0, B28*Material_Rates!C3)</f>
        <v>11050</v>
      </c>
      <c r="D34" s="23">
        <f t="shared" ref="D34:D46" si="0">B34-C34</f>
        <v>3250</v>
      </c>
      <c r="E34" s="4" t="s">
        <v>212</v>
      </c>
    </row>
    <row r="35" spans="1:5" ht="15" customHeight="1" x14ac:dyDescent="0.25">
      <c r="A35" s="2" t="s">
        <v>213</v>
      </c>
      <c r="B35" s="23">
        <f>B12*Material_Rates!B4</f>
        <v>16000</v>
      </c>
      <c r="C35" s="23">
        <f>B12*Material_Rates!C4</f>
        <v>14000</v>
      </c>
      <c r="D35" s="23">
        <f t="shared" si="0"/>
        <v>2000</v>
      </c>
      <c r="E35" s="4" t="s">
        <v>214</v>
      </c>
    </row>
    <row r="36" spans="1:5" ht="15" customHeight="1" x14ac:dyDescent="0.25">
      <c r="A36" s="2" t="s">
        <v>215</v>
      </c>
      <c r="B36" s="23">
        <f>IF(AND(B13="Dive-in", B14="Double"), B12*Material_Rates!B5, 0)</f>
        <v>0</v>
      </c>
      <c r="C36" s="23">
        <f>IF(AND(B13="Dive-in", B14="Double"), B12*Material_Rates!C5, 0)</f>
        <v>0</v>
      </c>
      <c r="D36" s="23">
        <f t="shared" si="0"/>
        <v>0</v>
      </c>
      <c r="E36" s="4" t="s">
        <v>216</v>
      </c>
    </row>
    <row r="37" spans="1:5" ht="15" customHeight="1" x14ac:dyDescent="0.25">
      <c r="A37" s="2" t="s">
        <v>154</v>
      </c>
      <c r="B37" s="23">
        <f>B27*Material_Rates!B6</f>
        <v>20000</v>
      </c>
      <c r="C37" s="23">
        <f>B27*Material_Rates!C6</f>
        <v>14000</v>
      </c>
      <c r="D37" s="23">
        <f t="shared" si="0"/>
        <v>6000</v>
      </c>
      <c r="E37" s="4" t="s">
        <v>217</v>
      </c>
    </row>
    <row r="38" spans="1:5" ht="15" customHeight="1" x14ac:dyDescent="0.25">
      <c r="A38" s="2" t="s">
        <v>155</v>
      </c>
      <c r="B38" s="23">
        <f>B12*4*Material_Rates!B7</f>
        <v>2400</v>
      </c>
      <c r="C38" s="23">
        <f>B12*4*Material_Rates!C7</f>
        <v>1600</v>
      </c>
      <c r="D38" s="23">
        <f t="shared" si="0"/>
        <v>800</v>
      </c>
      <c r="E38" s="4" t="s">
        <v>218</v>
      </c>
    </row>
    <row r="39" spans="1:5" ht="15" customHeight="1" x14ac:dyDescent="0.25">
      <c r="A39" s="2" t="s">
        <v>157</v>
      </c>
      <c r="B39" s="23">
        <f>IF(B27&lt;=4, MISC_Tiers!C3, IF(B27&lt;=8, MISC_Tiers!C4, MISC_Tiers!C5))</f>
        <v>2000</v>
      </c>
      <c r="C39" s="23">
        <f>IF(B27&lt;=4, MISC_Tiers!D3, IF(B27&lt;=8, MISC_Tiers!D4, MISC_Tiers!D5))</f>
        <v>1500</v>
      </c>
      <c r="D39" s="23">
        <f t="shared" si="0"/>
        <v>500</v>
      </c>
      <c r="E39" s="4" t="s">
        <v>219</v>
      </c>
    </row>
    <row r="40" spans="1:5" ht="15" customHeight="1" x14ac:dyDescent="0.25">
      <c r="A40" s="2" t="s">
        <v>220</v>
      </c>
      <c r="B40" s="23">
        <f>IF(B15="Yes", Settings!B20, 0)</f>
        <v>0</v>
      </c>
      <c r="C40" s="23">
        <f>IF(B15="Yes", Settings!C20, 0)</f>
        <v>0</v>
      </c>
      <c r="D40" s="23">
        <f t="shared" si="0"/>
        <v>0</v>
      </c>
      <c r="E40" s="4" t="s">
        <v>221</v>
      </c>
    </row>
    <row r="41" spans="1:5" ht="23.25" customHeight="1" x14ac:dyDescent="0.25">
      <c r="A41" s="2" t="s">
        <v>222</v>
      </c>
      <c r="B41" s="23">
        <f>IF(B15="Yes", IFERROR(INDEX(Brand_Imaging!B3:J11, MATCH(B16, Brand_Imaging!A3:A11, 0), B12-1), 0), 0)</f>
        <v>0</v>
      </c>
      <c r="C41" s="23">
        <f>IF(B15="Yes", IFERROR(INDEX(Brand_Imaging!B3:J11, MATCH(B16, Brand_Imaging!A3:A11, 0), B12-1), 0), 0)</f>
        <v>0</v>
      </c>
      <c r="D41" s="23">
        <f t="shared" si="0"/>
        <v>0</v>
      </c>
      <c r="E41" s="4" t="s">
        <v>223</v>
      </c>
    </row>
    <row r="42" spans="1:5" ht="15" customHeight="1" x14ac:dyDescent="0.25">
      <c r="A42" s="2" t="s">
        <v>224</v>
      </c>
      <c r="B42" s="23">
        <f>IF(B17="Yes", IFERROR(VLOOKUP(B18, MID_PriceSign!A3:C7, 2, FALSE()), 0), 0)</f>
        <v>0</v>
      </c>
      <c r="C42" s="23">
        <f>IF(B17="Yes", IFERROR(VLOOKUP(B18, MID_PriceSign!A3:C7, 3, FALSE()), 0), 0)</f>
        <v>0</v>
      </c>
      <c r="D42" s="23">
        <f t="shared" si="0"/>
        <v>0</v>
      </c>
      <c r="E42" s="4" t="s">
        <v>225</v>
      </c>
    </row>
    <row r="43" spans="1:5" ht="15" customHeight="1" x14ac:dyDescent="0.25">
      <c r="A43" s="2" t="s">
        <v>163</v>
      </c>
      <c r="B43" s="23">
        <f>B29*Settings!B17</f>
        <v>7000</v>
      </c>
      <c r="C43" s="23">
        <f>B29*Settings!B17</f>
        <v>7000</v>
      </c>
      <c r="D43" s="23">
        <f t="shared" si="0"/>
        <v>0</v>
      </c>
      <c r="E43" s="4" t="s">
        <v>226</v>
      </c>
    </row>
    <row r="44" spans="1:5" ht="15" customHeight="1" x14ac:dyDescent="0.25">
      <c r="A44" s="2" t="s">
        <v>227</v>
      </c>
      <c r="B44" s="23">
        <f>IF(B15="Yes", Settings!B18, 0)</f>
        <v>0</v>
      </c>
      <c r="C44" s="23">
        <f>IF(B15="Yes", Settings!C18, 0)</f>
        <v>0</v>
      </c>
      <c r="D44" s="23">
        <f t="shared" si="0"/>
        <v>0</v>
      </c>
      <c r="E44" s="4" t="s">
        <v>228</v>
      </c>
    </row>
    <row r="45" spans="1:5" ht="15" customHeight="1" x14ac:dyDescent="0.25">
      <c r="A45" s="2" t="s">
        <v>229</v>
      </c>
      <c r="B45" s="23">
        <f>IF(B12=2, Settings!B19, 0)</f>
        <v>0</v>
      </c>
      <c r="C45" s="23">
        <f>IF(B12=2, Settings!C19, 0)</f>
        <v>0</v>
      </c>
      <c r="D45" s="23">
        <f t="shared" si="0"/>
        <v>0</v>
      </c>
      <c r="E45" s="4" t="s">
        <v>230</v>
      </c>
    </row>
    <row r="46" spans="1:5" ht="15" customHeight="1" x14ac:dyDescent="0.25">
      <c r="A46" s="2" t="s">
        <v>231</v>
      </c>
      <c r="B46" s="23">
        <f>IF(B17="Yes", IFERROR(VLOOKUP(B19, MID_Labor!A3:C4, 2, FALSE()), 0), 0)</f>
        <v>0</v>
      </c>
      <c r="C46" s="23">
        <f>IF(B17="Yes", IFERROR(VLOOKUP(B19, MID_Labor!A3:C4, 3, FALSE()), 0), 0)</f>
        <v>0</v>
      </c>
      <c r="D46" s="23">
        <f t="shared" si="0"/>
        <v>0</v>
      </c>
      <c r="E46" s="4" t="s">
        <v>232</v>
      </c>
    </row>
    <row r="48" spans="1:5" ht="21.75" customHeight="1" x14ac:dyDescent="0.25">
      <c r="A48" s="39" t="s">
        <v>233</v>
      </c>
      <c r="B48" s="36"/>
      <c r="C48" s="36"/>
      <c r="D48" s="36"/>
      <c r="E48" s="36"/>
    </row>
    <row r="49" spans="1:2" ht="15" customHeight="1" x14ac:dyDescent="0.25">
      <c r="A49" s="2" t="s">
        <v>234</v>
      </c>
      <c r="B49" s="23">
        <f>B34+B35+B37+B38+B39</f>
        <v>54700</v>
      </c>
    </row>
    <row r="50" spans="1:2" ht="15" customHeight="1" x14ac:dyDescent="0.25">
      <c r="A50" s="2" t="s">
        <v>235</v>
      </c>
      <c r="B50" s="23">
        <f>B36+B40+B41+B42</f>
        <v>0</v>
      </c>
    </row>
    <row r="51" spans="1:2" ht="15" customHeight="1" x14ac:dyDescent="0.25">
      <c r="A51" s="2" t="s">
        <v>236</v>
      </c>
      <c r="B51" s="23">
        <f>(B34+B35+B37+B38+B39)*(1+B24) + (B36+B40+B41+B42)</f>
        <v>82050</v>
      </c>
    </row>
    <row r="52" spans="1:2" ht="15" customHeight="1" x14ac:dyDescent="0.25">
      <c r="A52" s="2" t="s">
        <v>237</v>
      </c>
      <c r="B52" s="23">
        <f>B43</f>
        <v>7000</v>
      </c>
    </row>
    <row r="53" spans="1:2" ht="15" customHeight="1" x14ac:dyDescent="0.25">
      <c r="A53" s="2" t="s">
        <v>238</v>
      </c>
      <c r="B53" s="23">
        <f>B44+B45+B46</f>
        <v>0</v>
      </c>
    </row>
    <row r="54" spans="1:2" ht="15" customHeight="1" x14ac:dyDescent="0.25">
      <c r="A54" s="2" t="s">
        <v>239</v>
      </c>
      <c r="B54" s="23">
        <f>(B43)*(1+B24) + (B44+B45+B46)</f>
        <v>10500</v>
      </c>
    </row>
    <row r="55" spans="1:2" ht="15" customHeight="1" x14ac:dyDescent="0.25">
      <c r="A55" s="2" t="s">
        <v>240</v>
      </c>
      <c r="B55" s="23">
        <f>B51</f>
        <v>82050</v>
      </c>
    </row>
    <row r="56" spans="1:2" ht="15" customHeight="1" x14ac:dyDescent="0.25">
      <c r="A56" s="2" t="s">
        <v>241</v>
      </c>
      <c r="B56" s="23">
        <f>B55*B20</f>
        <v>6769.125</v>
      </c>
    </row>
    <row r="57" spans="1:2" ht="15" customHeight="1" x14ac:dyDescent="0.25">
      <c r="A57" s="24" t="s">
        <v>242</v>
      </c>
      <c r="B57" s="25">
        <f>B51+B54+B56</f>
        <v>99319.125</v>
      </c>
    </row>
    <row r="58" spans="1:2" ht="15" customHeight="1" x14ac:dyDescent="0.25">
      <c r="A58" s="2" t="s">
        <v>243</v>
      </c>
      <c r="B58" s="23">
        <f>B56</f>
        <v>6769.125</v>
      </c>
    </row>
    <row r="59" spans="1:2" ht="15" customHeight="1" x14ac:dyDescent="0.25">
      <c r="A59" s="24" t="s">
        <v>244</v>
      </c>
      <c r="B59" s="25">
        <f>B51+B54</f>
        <v>92550</v>
      </c>
    </row>
    <row r="60" spans="1:2" ht="15" customHeight="1" x14ac:dyDescent="0.25">
      <c r="A60" s="2" t="s">
        <v>245</v>
      </c>
      <c r="B60" s="23">
        <f>(C34+C35+C37+C38+C39)+(C36+C40+C41+C42)</f>
        <v>42150</v>
      </c>
    </row>
    <row r="61" spans="1:2" ht="15" customHeight="1" x14ac:dyDescent="0.25">
      <c r="A61" s="2" t="s">
        <v>246</v>
      </c>
      <c r="B61" s="23">
        <f>(C43)+(C44+C45+C46)</f>
        <v>7000</v>
      </c>
    </row>
    <row r="62" spans="1:2" ht="15" customHeight="1" x14ac:dyDescent="0.25">
      <c r="A62" s="24" t="s">
        <v>247</v>
      </c>
      <c r="B62" s="25">
        <f>B60+B61</f>
        <v>49150</v>
      </c>
    </row>
    <row r="63" spans="1:2" ht="17.25" customHeight="1" x14ac:dyDescent="0.25">
      <c r="A63" s="26" t="s">
        <v>248</v>
      </c>
      <c r="B63" s="27">
        <f>B59-B62</f>
        <v>43400</v>
      </c>
    </row>
    <row r="64" spans="1:2" ht="17.25" customHeight="1" x14ac:dyDescent="0.25">
      <c r="A64" s="26" t="s">
        <v>249</v>
      </c>
      <c r="B64" s="28">
        <f>IFERROR(B63/B59,0)</f>
        <v>0.46893571042679633</v>
      </c>
    </row>
  </sheetData>
  <sheetProtection algorithmName="SHA-512" hashValue="mOj8cYuXwHiR8XqKC9Hqmk3V4ATJHNEcdE+mCIcd7LYQSPxe65oSxmWgML0RCdywke6FWe4ik4yGgujmewZY5A==" saltValue="qDVcAnG3RMijsy9Xgm0pEw==" spinCount="100000" sheet="1" objects="1" scenarios="1"/>
  <mergeCells count="7">
    <mergeCell ref="A4:E4"/>
    <mergeCell ref="A48:E48"/>
    <mergeCell ref="A2:E2"/>
    <mergeCell ref="A1:E1"/>
    <mergeCell ref="A32:E32"/>
    <mergeCell ref="A22:E22"/>
    <mergeCell ref="A9:E9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Settings</vt:lpstr>
      <vt:lpstr>Material_Rates</vt:lpstr>
      <vt:lpstr>MISC_Tiers</vt:lpstr>
      <vt:lpstr>Labor_Days</vt:lpstr>
      <vt:lpstr>Brand_Imaging</vt:lpstr>
      <vt:lpstr>MID_PriceSign</vt:lpstr>
      <vt:lpstr>MID_Labor</vt:lpstr>
      <vt:lpstr>Salespeople</vt:lpstr>
      <vt:lpstr>Markup_Rules</vt:lpstr>
      <vt:lpstr>Internal_PL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Ali Husain</cp:lastModifiedBy>
  <cp:revision>0</cp:revision>
  <dcterms:created xsi:type="dcterms:W3CDTF">2026-05-10T20:54:37Z</dcterms:created>
  <dcterms:modified xsi:type="dcterms:W3CDTF">2026-05-16T18:15:17Z</dcterms:modified>
  <dc:language>en-US</dc:language>
</cp:coreProperties>
</file>